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fil Proyek" sheetId="2" state="visible" r:id="rId2"/>
    <sheet xmlns:r="http://schemas.openxmlformats.org/officeDocument/2006/relationships" name="Ringkasan Eksekutif" sheetId="3" state="visible" r:id="rId3"/>
    <sheet xmlns:r="http://schemas.openxmlformats.org/officeDocument/2006/relationships" name="Anggaran vs Realisasi" sheetId="4" state="visible" r:id="rId4"/>
    <sheet xmlns:r="http://schemas.openxmlformats.org/officeDocument/2006/relationships" name="Cashflow Timeline" sheetId="5" state="visible" r:id="rId5"/>
    <sheet xmlns:r="http://schemas.openxmlformats.org/officeDocument/2006/relationships" name="Dompet Utama" sheetId="6" state="visible" r:id="rId6"/>
    <sheet xmlns:r="http://schemas.openxmlformats.org/officeDocument/2006/relationships" name="Dompet Dokumen" sheetId="7" state="visible" r:id="rId7"/>
    <sheet xmlns:r="http://schemas.openxmlformats.org/officeDocument/2006/relationships" name="Dompet Eksekusi" sheetId="8" state="visible" r:id="rId8"/>
    <sheet xmlns:r="http://schemas.openxmlformats.org/officeDocument/2006/relationships" name="Dompet Renovasi" sheetId="9" state="visible" r:id="rId9"/>
    <sheet xmlns:r="http://schemas.openxmlformats.org/officeDocument/2006/relationships" name="Dompet Cadangan" sheetId="10" state="visible" r:id="rId10"/>
    <sheet xmlns:r="http://schemas.openxmlformats.org/officeDocument/2006/relationships" name="Breakdown Kategori" sheetId="11" state="visible" r:id="rId11"/>
    <sheet xmlns:r="http://schemas.openxmlformats.org/officeDocument/2006/relationships" name="Petunjuk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_-&quot;Rp&quot;* #,##0_-;[RED]&quot;-Rp&quot;* #,##0_-;_-&quot;Rp&quot;* \-_-;_-@_-"/>
    <numFmt numFmtId="165" formatCode="0.0%;[RED]\-0.0%;\-"/>
    <numFmt numFmtId="166" formatCode="dd\-mmm\-yyyy"/>
  </numFmts>
  <fonts count="5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E8D27A"/>
      <sz val="11"/>
    </font>
    <font>
      <name val="Calibri"/>
      <charset val="1"/>
      <family val="0"/>
      <b val="1"/>
      <color rgb="FFFFFFFF"/>
      <sz val="24"/>
    </font>
    <font>
      <name val="Calibri"/>
      <charset val="1"/>
      <family val="0"/>
      <i val="1"/>
      <color rgb="FFE8D27A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1F3864"/>
      <sz val="13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color rgb="FF0070C0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b val="1"/>
      <color rgb="FF2E5597"/>
      <sz val="16"/>
    </font>
    <font>
      <name val="Calibri"/>
      <charset val="1"/>
      <family val="0"/>
      <b val="1"/>
      <color rgb="FF548235"/>
      <sz val="16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i val="1"/>
      <color rgb="FF8C8C8C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0070C0"/>
      <sz val="11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2E75B6"/>
      <sz val="10"/>
    </font>
    <font>
      <name val="Calibri"/>
      <charset val="1"/>
      <family val="0"/>
      <b val="1"/>
      <color rgb="FFED7D31"/>
      <sz val="10"/>
    </font>
    <font>
      <name val="Calibri"/>
      <charset val="1"/>
      <family val="0"/>
      <b val="1"/>
      <color rgb="FF548235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E8D27A"/>
      <sz val="9"/>
    </font>
    <font>
      <name val="Calibri"/>
      <charset val="1"/>
      <family val="0"/>
      <b val="1"/>
      <color rgb="FFE8D27A"/>
      <sz val="12"/>
    </font>
    <font>
      <name val="Calibri"/>
      <charset val="1"/>
      <family val="0"/>
      <b val="1"/>
      <color rgb="FF548235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b val="1"/>
      <color rgb="FF8B6F0E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b val="1"/>
      <color rgb="FF2E5597"/>
      <sz val="18"/>
    </font>
    <font>
      <name val="Calibri"/>
      <charset val="1"/>
      <family val="0"/>
      <b val="1"/>
      <color rgb="FF8B6F0E"/>
      <sz val="18"/>
    </font>
    <font>
      <name val="Calibri"/>
      <charset val="1"/>
      <family val="0"/>
      <b val="1"/>
      <color rgb="FF548235"/>
      <sz val="18"/>
    </font>
    <font>
      <name val="Calibri"/>
      <charset val="1"/>
      <family val="0"/>
      <i val="1"/>
      <color rgb="FF595959"/>
      <sz val="8"/>
    </font>
    <font>
      <name val="Calibri"/>
      <charset val="1"/>
      <family val="0"/>
      <b val="1"/>
      <color rgb="FF548235"/>
      <sz val="14"/>
    </font>
    <font>
      <name val="Calibri"/>
      <charset val="1"/>
      <family val="0"/>
      <b val="1"/>
      <color rgb="FFC00000"/>
      <sz val="14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2E75B6"/>
      <sz val="11"/>
    </font>
    <font>
      <name val="Calibri"/>
      <charset val="1"/>
      <family val="0"/>
      <b val="1"/>
      <color rgb="FFED7D31"/>
      <sz val="11"/>
    </font>
    <font>
      <name val="Calibri"/>
      <charset val="1"/>
      <family val="0"/>
      <color rgb="FF595959"/>
      <sz val="10"/>
    </font>
    <font>
      <name val="Calibri"/>
      <charset val="1"/>
      <family val="0"/>
      <i val="1"/>
      <color rgb="FF0070C0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0070C0"/>
      <sz val="10"/>
    </font>
    <font>
      <name val="Calibri"/>
      <charset val="1"/>
      <family val="0"/>
      <b val="1"/>
      <color rgb="FFE8D27A"/>
      <sz val="10"/>
    </font>
    <font>
      <name val="Calibri"/>
      <charset val="1"/>
      <family val="0"/>
      <b val="1"/>
      <color rgb="FF0070C0"/>
      <sz val="13"/>
    </font>
    <font>
      <name val="Calibri"/>
      <charset val="1"/>
      <family val="0"/>
      <b val="1"/>
      <color rgb="FF000000"/>
      <sz val="13"/>
    </font>
    <font>
      <name val="Calibri"/>
      <charset val="1"/>
      <family val="0"/>
      <i val="1"/>
      <color rgb="FF595959"/>
      <sz val="10"/>
    </font>
    <font>
      <name val="Arial"/>
      <family val="2"/>
      <sz val="10"/>
    </font>
    <font>
      <name val="Calibri"/>
      <charset val="1"/>
      <family val="0"/>
      <b val="1"/>
      <color rgb="FFC9A227"/>
      <sz val="12"/>
    </font>
  </fonts>
  <fills count="14">
    <fill>
      <patternFill/>
    </fill>
    <fill>
      <patternFill patternType="gray125"/>
    </fill>
    <fill>
      <patternFill patternType="solid">
        <fgColor rgb="FF1F3864"/>
        <bgColor rgb="FF0F1F3D"/>
      </patternFill>
    </fill>
    <fill>
      <patternFill patternType="solid">
        <fgColor rgb="FFC9A227"/>
        <bgColor rgb="FFBF8F00"/>
      </patternFill>
    </fill>
    <fill>
      <patternFill patternType="solid">
        <fgColor rgb="FF8B6F0E"/>
        <bgColor rgb="FF548235"/>
      </patternFill>
    </fill>
    <fill>
      <patternFill patternType="solid">
        <fgColor rgb="FFE8D27A"/>
        <bgColor rgb="FFB8CD97"/>
      </patternFill>
    </fill>
    <fill>
      <patternFill patternType="solid">
        <fgColor rgb="FFF5F5F5"/>
        <bgColor rgb="FFF9F9F9"/>
      </patternFill>
    </fill>
    <fill>
      <patternFill patternType="solid">
        <fgColor rgb="FF2E5597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4672A8"/>
      </patternFill>
    </fill>
    <fill>
      <patternFill patternType="solid">
        <fgColor rgb="FFED7D31"/>
        <bgColor rgb="FFDC853E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C9A227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rgb="FF1F3864"/>
      </top>
      <bottom/>
      <diagonal/>
    </border>
    <border>
      <left/>
      <right style="thin">
        <color rgb="FF1F3864"/>
      </right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1F3864"/>
      </right>
      <top style="medium">
        <color rgb="FF1F3864"/>
      </top>
      <bottom style="medium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164" fontId="12" fillId="6" borderId="3" applyAlignment="1" pivotButton="0" quotePrefix="0" xfId="0">
      <alignment horizontal="center" vertical="center" wrapText="1"/>
    </xf>
    <xf numFmtId="164" fontId="13" fillId="6" borderId="3" applyAlignment="1" pivotButton="0" quotePrefix="0" xfId="0">
      <alignment horizontal="center" vertical="center" wrapText="1"/>
    </xf>
    <xf numFmtId="164" fontId="14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 indent="1"/>
    </xf>
    <xf numFmtId="0" fontId="16" fillId="9" borderId="1" applyAlignment="1" pivotButton="0" quotePrefix="0" xfId="0">
      <alignment horizontal="left" vertical="center" wrapText="1" indent="1"/>
    </xf>
    <xf numFmtId="164" fontId="20" fillId="9" borderId="1" applyAlignment="1" pivotButton="0" quotePrefix="0" xfId="0">
      <alignment horizontal="right" vertical="center" indent="1"/>
    </xf>
    <xf numFmtId="165" fontId="21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left" vertical="center" wrapText="1" indent="1"/>
    </xf>
    <xf numFmtId="0" fontId="16" fillId="10" borderId="1" applyAlignment="1" pivotButton="0" quotePrefix="0" xfId="0">
      <alignment horizontal="left" vertical="center" wrapText="1" indent="1"/>
    </xf>
    <xf numFmtId="164" fontId="20" fillId="10" borderId="1" applyAlignment="1" pivotButton="0" quotePrefix="0" xfId="0">
      <alignment horizontal="right" vertical="center" indent="1"/>
    </xf>
    <xf numFmtId="165" fontId="21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 indent="1"/>
    </xf>
    <xf numFmtId="164" fontId="11" fillId="9" borderId="1" applyAlignment="1" pivotButton="0" quotePrefix="0" xfId="0">
      <alignment horizontal="right" vertical="center" indent="1"/>
    </xf>
    <xf numFmtId="0" fontId="10" fillId="10" borderId="1" applyAlignment="1" pivotButton="0" quotePrefix="0" xfId="0">
      <alignment horizontal="left" vertical="center" wrapText="1" indent="1"/>
    </xf>
    <xf numFmtId="164" fontId="11" fillId="10" borderId="1" applyAlignment="1" pivotButton="0" quotePrefix="0" xfId="0">
      <alignment horizontal="right" vertical="center" indent="1"/>
    </xf>
    <xf numFmtId="0" fontId="22" fillId="10" borderId="1" applyAlignment="1" pivotButton="0" quotePrefix="0" xfId="0">
      <alignment horizontal="left" vertical="center" wrapText="1" indent="1"/>
    </xf>
    <xf numFmtId="0" fontId="23" fillId="9" borderId="1" applyAlignment="1" pivotButton="0" quotePrefix="0" xfId="0">
      <alignment horizontal="left" vertical="center" wrapText="1" indent="1"/>
    </xf>
    <xf numFmtId="0" fontId="24" fillId="10" borderId="1" applyAlignment="1" pivotButton="0" quotePrefix="0" xfId="0">
      <alignment horizontal="left" vertical="center" wrapText="1" indent="1"/>
    </xf>
    <xf numFmtId="0" fontId="25" fillId="2" borderId="4" applyAlignment="1" pivotButton="0" quotePrefix="0" xfId="0">
      <alignment horizontal="left" vertical="center" wrapText="1" indent="1"/>
    </xf>
    <xf numFmtId="0" fontId="26" fillId="2" borderId="4" applyAlignment="1" pivotButton="0" quotePrefix="0" xfId="0">
      <alignment horizontal="left" vertical="center" wrapText="1" indent="1"/>
    </xf>
    <xf numFmtId="164" fontId="27" fillId="2" borderId="4" applyAlignment="1" pivotButton="0" quotePrefix="0" xfId="0">
      <alignment horizontal="right" vertical="center" indent="1"/>
    </xf>
    <xf numFmtId="0" fontId="4" fillId="2" borderId="4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165" fontId="28" fillId="10" borderId="1" applyAlignment="1" pivotButton="0" quotePrefix="0" xfId="0">
      <alignment horizontal="center" vertical="center" wrapText="1"/>
    </xf>
    <xf numFmtId="164" fontId="29" fillId="9" borderId="1" applyAlignment="1" pivotButton="0" quotePrefix="0" xfId="0">
      <alignment horizontal="right" vertical="center" indent="1"/>
    </xf>
    <xf numFmtId="0" fontId="7" fillId="2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 indent="1"/>
    </xf>
    <xf numFmtId="164" fontId="19" fillId="9" borderId="1" applyAlignment="1" pivotButton="0" quotePrefix="0" xfId="0">
      <alignment horizontal="right" vertical="center" indent="1"/>
    </xf>
    <xf numFmtId="0" fontId="21" fillId="10" borderId="1" applyAlignment="1" pivotButton="0" quotePrefix="0" xfId="0">
      <alignment horizontal="left" vertical="center" wrapText="1" indent="1"/>
    </xf>
    <xf numFmtId="164" fontId="19" fillId="10" borderId="1" applyAlignment="1" pivotButton="0" quotePrefix="0" xfId="0">
      <alignment horizontal="right" vertical="center" indent="1"/>
    </xf>
    <xf numFmtId="0" fontId="7" fillId="8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165" fontId="14" fillId="6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center" vertical="center" wrapText="1"/>
    </xf>
    <xf numFmtId="165" fontId="30" fillId="6" borderId="3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164" fontId="34" fillId="6" borderId="3" applyAlignment="1" pivotButton="0" quotePrefix="0" xfId="0">
      <alignment horizontal="center" vertical="center" wrapText="1"/>
    </xf>
    <xf numFmtId="164" fontId="35" fillId="6" borderId="1" applyAlignment="1" pivotButton="0" quotePrefix="0" xfId="0">
      <alignment horizontal="center" vertical="center" wrapText="1"/>
    </xf>
    <xf numFmtId="165" fontId="36" fillId="6" borderId="3" applyAlignment="1" pivotButton="0" quotePrefix="0" xfId="0">
      <alignment horizontal="center" vertical="center" wrapText="1"/>
    </xf>
    <xf numFmtId="164" fontId="37" fillId="6" borderId="3" applyAlignment="1" pivotButton="0" quotePrefix="0" xfId="0">
      <alignment horizontal="center" vertical="center" wrapText="1"/>
    </xf>
    <xf numFmtId="0" fontId="38" fillId="6" borderId="3" applyAlignment="1" pivotButton="0" quotePrefix="0" xfId="0">
      <alignment horizontal="center" vertical="center" wrapText="1"/>
    </xf>
    <xf numFmtId="0" fontId="38" fillId="6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general" vertical="bottom"/>
    </xf>
    <xf numFmtId="0" fontId="7" fillId="11" borderId="3" applyAlignment="1" pivotButton="0" quotePrefix="0" xfId="0">
      <alignment horizontal="center" vertical="center" wrapText="1"/>
    </xf>
    <xf numFmtId="164" fontId="39" fillId="6" borderId="3" applyAlignment="1" pivotButton="0" quotePrefix="0" xfId="0">
      <alignment horizontal="center" vertical="center" wrapText="1"/>
    </xf>
    <xf numFmtId="164" fontId="40" fillId="6" borderId="3" applyAlignment="1" pivotButton="0" quotePrefix="0" xfId="0">
      <alignment horizontal="center" vertical="center" wrapText="1"/>
    </xf>
    <xf numFmtId="164" fontId="8" fillId="6" borderId="3" applyAlignment="1" pivotButton="0" quotePrefix="0" xfId="0">
      <alignment horizontal="center" vertical="center" wrapText="1"/>
    </xf>
    <xf numFmtId="0" fontId="41" fillId="9" borderId="1" applyAlignment="1" pivotButton="0" quotePrefix="0" xfId="0">
      <alignment horizontal="left" vertical="center" wrapText="1" indent="1"/>
    </xf>
    <xf numFmtId="0" fontId="42" fillId="9" borderId="1" applyAlignment="1" pivotButton="0" quotePrefix="0" xfId="0">
      <alignment horizontal="left" vertical="center" wrapText="1" indent="1"/>
    </xf>
    <xf numFmtId="164" fontId="21" fillId="9" borderId="1" applyAlignment="1" pivotButton="0" quotePrefix="0" xfId="0">
      <alignment horizontal="right" vertical="center" indent="1"/>
    </xf>
    <xf numFmtId="165" fontId="19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43" fillId="10" borderId="1" applyAlignment="1" pivotButton="0" quotePrefix="0" xfId="0">
      <alignment horizontal="left" vertical="center" wrapText="1" indent="1"/>
    </xf>
    <xf numFmtId="0" fontId="42" fillId="10" borderId="1" applyAlignment="1" pivotButton="0" quotePrefix="0" xfId="0">
      <alignment horizontal="left" vertical="center" wrapText="1" indent="1"/>
    </xf>
    <xf numFmtId="164" fontId="21" fillId="10" borderId="1" applyAlignment="1" pivotButton="0" quotePrefix="0" xfId="0">
      <alignment horizontal="right" vertical="center" indent="1"/>
    </xf>
    <xf numFmtId="165" fontId="19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44" fillId="9" borderId="1" applyAlignment="1" pivotButton="0" quotePrefix="0" xfId="0">
      <alignment horizontal="left" vertical="center" wrapText="1" indent="1"/>
    </xf>
    <xf numFmtId="0" fontId="28" fillId="10" borderId="1" applyAlignment="1" pivotButton="0" quotePrefix="0" xfId="0">
      <alignment horizontal="left" vertical="center" wrapText="1" indent="1"/>
    </xf>
    <xf numFmtId="0" fontId="25" fillId="2" borderId="4" applyAlignment="1" pivotButton="0" quotePrefix="0" xfId="0">
      <alignment horizontal="center" vertical="center" wrapText="1"/>
    </xf>
    <xf numFmtId="164" fontId="25" fillId="2" borderId="4" applyAlignment="1" pivotButton="0" quotePrefix="0" xfId="0">
      <alignment horizontal="right" vertical="center" indent="1"/>
    </xf>
    <xf numFmtId="165" fontId="25" fillId="2" borderId="4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4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46" fillId="9" borderId="1" applyAlignment="1" pivotButton="0" quotePrefix="0" xfId="0">
      <alignment horizontal="left" vertical="center" wrapText="1" indent="1"/>
    </xf>
    <xf numFmtId="0" fontId="46" fillId="10" borderId="1" applyAlignment="1" pivotButton="0" quotePrefix="0" xfId="0">
      <alignment horizontal="left" vertical="center" wrapText="1" indent="1"/>
    </xf>
    <xf numFmtId="0" fontId="47" fillId="2" borderId="4" applyAlignment="1" pivotButton="0" quotePrefix="0" xfId="0">
      <alignment horizontal="center" vertical="center" wrapText="1"/>
    </xf>
    <xf numFmtId="164" fontId="47" fillId="2" borderId="4" applyAlignment="1" pivotButton="0" quotePrefix="0" xfId="0">
      <alignment horizontal="right" vertical="center" indent="1"/>
    </xf>
    <xf numFmtId="165" fontId="47" fillId="2" borderId="4" applyAlignment="1" pivotButton="0" quotePrefix="0" xfId="0">
      <alignment horizontal="center" vertical="center" wrapText="1"/>
    </xf>
    <xf numFmtId="0" fontId="48" fillId="2" borderId="0" applyAlignment="1" pivotButton="0" quotePrefix="0" xfId="0">
      <alignment horizontal="center" vertical="center" wrapText="1"/>
    </xf>
    <xf numFmtId="166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 indent="1"/>
    </xf>
    <xf numFmtId="0" fontId="49" fillId="9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166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 indent="1"/>
    </xf>
    <xf numFmtId="0" fontId="49" fillId="10" borderId="1" applyAlignment="1" pivotButton="0" quotePrefix="0" xfId="0">
      <alignment horizontal="center" vertical="center" wrapText="1"/>
    </xf>
    <xf numFmtId="0" fontId="50" fillId="2" borderId="4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right" vertical="center" indent="1"/>
    </xf>
    <xf numFmtId="164" fontId="51" fillId="6" borderId="1" applyAlignment="1" pivotButton="0" quotePrefix="0" xfId="0">
      <alignment horizontal="right" vertical="center" indent="1"/>
    </xf>
    <xf numFmtId="0" fontId="7" fillId="8" borderId="4" applyAlignment="1" pivotButton="0" quotePrefix="0" xfId="0">
      <alignment horizontal="center" vertical="center" wrapText="1"/>
    </xf>
    <xf numFmtId="164" fontId="52" fillId="6" borderId="1" applyAlignment="1" pivotButton="0" quotePrefix="0" xfId="0">
      <alignment horizontal="right" vertical="center" indent="1"/>
    </xf>
    <xf numFmtId="0" fontId="7" fillId="7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165" fontId="52" fillId="6" borderId="1" applyAlignment="1" pivotButton="0" quotePrefix="0" xfId="0">
      <alignment horizontal="right" vertical="center" indent="1"/>
    </xf>
    <xf numFmtId="0" fontId="53" fillId="0" borderId="0" applyAlignment="1" pivotButton="0" quotePrefix="0" xfId="0">
      <alignment horizontal="left" vertical="center" wrapText="1" indent="1"/>
    </xf>
    <xf numFmtId="0" fontId="0" fillId="2" borderId="4" applyAlignment="1" pivotButton="0" quotePrefix="0" xfId="0">
      <alignment horizontal="general" vertical="bottom"/>
    </xf>
    <xf numFmtId="0" fontId="17" fillId="12" borderId="0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0" fontId="17" fillId="13" borderId="0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 wrapText="1" indent="1"/>
    </xf>
    <xf numFmtId="0" fontId="45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0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10" fillId="6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164" fontId="12" fillId="6" borderId="3" applyAlignment="1" pivotButton="0" quotePrefix="0" xfId="0">
      <alignment horizontal="center" vertical="center" wrapText="1"/>
    </xf>
    <xf numFmtId="164" fontId="13" fillId="6" borderId="3" applyAlignment="1" pivotButton="0" quotePrefix="0" xfId="0">
      <alignment horizontal="center" vertical="center" wrapText="1"/>
    </xf>
    <xf numFmtId="164" fontId="14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19" fillId="9" borderId="1" applyAlignment="1" pivotButton="0" quotePrefix="0" xfId="0">
      <alignment horizontal="left" vertical="center" wrapText="1" indent="1"/>
    </xf>
    <xf numFmtId="0" fontId="16" fillId="9" borderId="1" applyAlignment="1" pivotButton="0" quotePrefix="0" xfId="0">
      <alignment horizontal="left" vertical="center" wrapText="1" indent="1"/>
    </xf>
    <xf numFmtId="164" fontId="20" fillId="9" borderId="1" applyAlignment="1" pivotButton="0" quotePrefix="0" xfId="0">
      <alignment horizontal="right" vertical="center" indent="1"/>
    </xf>
    <xf numFmtId="165" fontId="21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left" vertical="center" wrapText="1" indent="1"/>
    </xf>
    <xf numFmtId="0" fontId="16" fillId="10" borderId="1" applyAlignment="1" pivotButton="0" quotePrefix="0" xfId="0">
      <alignment horizontal="left" vertical="center" wrapText="1" indent="1"/>
    </xf>
    <xf numFmtId="164" fontId="20" fillId="10" borderId="1" applyAlignment="1" pivotButton="0" quotePrefix="0" xfId="0">
      <alignment horizontal="right" vertical="center" indent="1"/>
    </xf>
    <xf numFmtId="165" fontId="21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 indent="1"/>
    </xf>
    <xf numFmtId="164" fontId="11" fillId="9" borderId="1" applyAlignment="1" pivotButton="0" quotePrefix="0" xfId="0">
      <alignment horizontal="right" vertical="center" indent="1"/>
    </xf>
    <xf numFmtId="0" fontId="10" fillId="10" borderId="1" applyAlignment="1" pivotButton="0" quotePrefix="0" xfId="0">
      <alignment horizontal="left" vertical="center" wrapText="1" indent="1"/>
    </xf>
    <xf numFmtId="164" fontId="11" fillId="10" borderId="1" applyAlignment="1" pivotButton="0" quotePrefix="0" xfId="0">
      <alignment horizontal="right" vertical="center" indent="1"/>
    </xf>
    <xf numFmtId="0" fontId="22" fillId="10" borderId="1" applyAlignment="1" pivotButton="0" quotePrefix="0" xfId="0">
      <alignment horizontal="left" vertical="center" wrapText="1" indent="1"/>
    </xf>
    <xf numFmtId="0" fontId="23" fillId="9" borderId="1" applyAlignment="1" pivotButton="0" quotePrefix="0" xfId="0">
      <alignment horizontal="left" vertical="center" wrapText="1" indent="1"/>
    </xf>
    <xf numFmtId="0" fontId="24" fillId="10" borderId="1" applyAlignment="1" pivotButton="0" quotePrefix="0" xfId="0">
      <alignment horizontal="left" vertical="center" wrapText="1" indent="1"/>
    </xf>
    <xf numFmtId="0" fontId="25" fillId="2" borderId="4" applyAlignment="1" pivotButton="0" quotePrefix="0" xfId="0">
      <alignment horizontal="left" vertical="center" wrapText="1" indent="1"/>
    </xf>
    <xf numFmtId="0" fontId="26" fillId="2" borderId="4" applyAlignment="1" pivotButton="0" quotePrefix="0" xfId="0">
      <alignment horizontal="left" vertical="center" wrapText="1" indent="1"/>
    </xf>
    <xf numFmtId="164" fontId="27" fillId="2" borderId="4" applyAlignment="1" pivotButton="0" quotePrefix="0" xfId="0">
      <alignment horizontal="right" vertical="center" indent="1"/>
    </xf>
    <xf numFmtId="0" fontId="4" fillId="2" borderId="4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165" fontId="28" fillId="10" borderId="1" applyAlignment="1" pivotButton="0" quotePrefix="0" xfId="0">
      <alignment horizontal="center" vertical="center" wrapText="1"/>
    </xf>
    <xf numFmtId="164" fontId="29" fillId="9" borderId="1" applyAlignment="1" pivotButton="0" quotePrefix="0" xfId="0">
      <alignment horizontal="right" vertical="center" indent="1"/>
    </xf>
    <xf numFmtId="0" fontId="7" fillId="2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 indent="1"/>
    </xf>
    <xf numFmtId="164" fontId="19" fillId="9" borderId="1" applyAlignment="1" pivotButton="0" quotePrefix="0" xfId="0">
      <alignment horizontal="right" vertical="center" indent="1"/>
    </xf>
    <xf numFmtId="0" fontId="21" fillId="10" borderId="1" applyAlignment="1" pivotButton="0" quotePrefix="0" xfId="0">
      <alignment horizontal="left" vertical="center" wrapText="1" indent="1"/>
    </xf>
    <xf numFmtId="164" fontId="19" fillId="10" borderId="1" applyAlignment="1" pivotButton="0" quotePrefix="0" xfId="0">
      <alignment horizontal="right" vertical="center" indent="1"/>
    </xf>
    <xf numFmtId="0" fontId="7" fillId="8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165" fontId="14" fillId="6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center" vertical="center" wrapText="1"/>
    </xf>
    <xf numFmtId="165" fontId="30" fillId="6" borderId="3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164" fontId="34" fillId="6" borderId="3" applyAlignment="1" pivotButton="0" quotePrefix="0" xfId="0">
      <alignment horizontal="center" vertical="center" wrapText="1"/>
    </xf>
    <xf numFmtId="164" fontId="35" fillId="6" borderId="1" applyAlignment="1" pivotButton="0" quotePrefix="0" xfId="0">
      <alignment horizontal="center" vertical="center" wrapText="1"/>
    </xf>
    <xf numFmtId="165" fontId="36" fillId="6" borderId="3" applyAlignment="1" pivotButton="0" quotePrefix="0" xfId="0">
      <alignment horizontal="center" vertical="center" wrapText="1"/>
    </xf>
    <xf numFmtId="164" fontId="37" fillId="6" borderId="3" applyAlignment="1" pivotButton="0" quotePrefix="0" xfId="0">
      <alignment horizontal="center" vertical="center" wrapText="1"/>
    </xf>
    <xf numFmtId="0" fontId="38" fillId="6" borderId="3" applyAlignment="1" pivotButton="0" quotePrefix="0" xfId="0">
      <alignment horizontal="center" vertical="center" wrapText="1"/>
    </xf>
    <xf numFmtId="0" fontId="38" fillId="6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general" vertical="bottom"/>
    </xf>
    <xf numFmtId="0" fontId="7" fillId="11" borderId="3" applyAlignment="1" pivotButton="0" quotePrefix="0" xfId="0">
      <alignment horizontal="center" vertical="center" wrapText="1"/>
    </xf>
    <xf numFmtId="164" fontId="39" fillId="6" borderId="3" applyAlignment="1" pivotButton="0" quotePrefix="0" xfId="0">
      <alignment horizontal="center" vertical="center" wrapText="1"/>
    </xf>
    <xf numFmtId="164" fontId="40" fillId="6" borderId="3" applyAlignment="1" pivotButton="0" quotePrefix="0" xfId="0">
      <alignment horizontal="center" vertical="center" wrapText="1"/>
    </xf>
    <xf numFmtId="164" fontId="8" fillId="6" borderId="3" applyAlignment="1" pivotButton="0" quotePrefix="0" xfId="0">
      <alignment horizontal="center" vertical="center" wrapText="1"/>
    </xf>
    <xf numFmtId="0" fontId="41" fillId="9" borderId="1" applyAlignment="1" pivotButton="0" quotePrefix="0" xfId="0">
      <alignment horizontal="left" vertical="center" wrapText="1" indent="1"/>
    </xf>
    <xf numFmtId="0" fontId="42" fillId="9" borderId="1" applyAlignment="1" pivotButton="0" quotePrefix="0" xfId="0">
      <alignment horizontal="left" vertical="center" wrapText="1" indent="1"/>
    </xf>
    <xf numFmtId="164" fontId="21" fillId="9" borderId="1" applyAlignment="1" pivotButton="0" quotePrefix="0" xfId="0">
      <alignment horizontal="right" vertical="center" indent="1"/>
    </xf>
    <xf numFmtId="165" fontId="19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43" fillId="10" borderId="1" applyAlignment="1" pivotButton="0" quotePrefix="0" xfId="0">
      <alignment horizontal="left" vertical="center" wrapText="1" indent="1"/>
    </xf>
    <xf numFmtId="0" fontId="42" fillId="10" borderId="1" applyAlignment="1" pivotButton="0" quotePrefix="0" xfId="0">
      <alignment horizontal="left" vertical="center" wrapText="1" indent="1"/>
    </xf>
    <xf numFmtId="164" fontId="21" fillId="10" borderId="1" applyAlignment="1" pivotButton="0" quotePrefix="0" xfId="0">
      <alignment horizontal="right" vertical="center" indent="1"/>
    </xf>
    <xf numFmtId="165" fontId="19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44" fillId="9" borderId="1" applyAlignment="1" pivotButton="0" quotePrefix="0" xfId="0">
      <alignment horizontal="left" vertical="center" wrapText="1" indent="1"/>
    </xf>
    <xf numFmtId="0" fontId="28" fillId="10" borderId="1" applyAlignment="1" pivotButton="0" quotePrefix="0" xfId="0">
      <alignment horizontal="left" vertical="center" wrapText="1" indent="1"/>
    </xf>
    <xf numFmtId="0" fontId="25" fillId="2" borderId="4" applyAlignment="1" pivotButton="0" quotePrefix="0" xfId="0">
      <alignment horizontal="center" vertical="center" wrapText="1"/>
    </xf>
    <xf numFmtId="164" fontId="25" fillId="2" borderId="4" applyAlignment="1" pivotButton="0" quotePrefix="0" xfId="0">
      <alignment horizontal="right" vertical="center" indent="1"/>
    </xf>
    <xf numFmtId="165" fontId="25" fillId="2" borderId="4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4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46" fillId="9" borderId="1" applyAlignment="1" pivotButton="0" quotePrefix="0" xfId="0">
      <alignment horizontal="left" vertical="center" wrapText="1" indent="1"/>
    </xf>
    <xf numFmtId="0" fontId="46" fillId="10" borderId="1" applyAlignment="1" pivotButton="0" quotePrefix="0" xfId="0">
      <alignment horizontal="left" vertical="center" wrapText="1" indent="1"/>
    </xf>
    <xf numFmtId="0" fontId="47" fillId="2" borderId="4" applyAlignment="1" pivotButton="0" quotePrefix="0" xfId="0">
      <alignment horizontal="center" vertical="center" wrapText="1"/>
    </xf>
    <xf numFmtId="164" fontId="47" fillId="2" borderId="4" applyAlignment="1" pivotButton="0" quotePrefix="0" xfId="0">
      <alignment horizontal="right" vertical="center" indent="1"/>
    </xf>
    <xf numFmtId="165" fontId="47" fillId="2" borderId="4" applyAlignment="1" pivotButton="0" quotePrefix="0" xfId="0">
      <alignment horizontal="center" vertical="center" wrapText="1"/>
    </xf>
    <xf numFmtId="0" fontId="48" fillId="2" borderId="0" applyAlignment="1" pivotButton="0" quotePrefix="0" xfId="0">
      <alignment horizontal="center" vertical="center" wrapText="1"/>
    </xf>
    <xf numFmtId="166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 indent="1"/>
    </xf>
    <xf numFmtId="0" fontId="49" fillId="9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166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 indent="1"/>
    </xf>
    <xf numFmtId="0" fontId="49" fillId="10" borderId="1" applyAlignment="1" pivotButton="0" quotePrefix="0" xfId="0">
      <alignment horizontal="center" vertical="center" wrapText="1"/>
    </xf>
    <xf numFmtId="0" fontId="50" fillId="2" borderId="4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right" vertical="center" indent="1"/>
    </xf>
    <xf numFmtId="164" fontId="51" fillId="6" borderId="1" applyAlignment="1" pivotButton="0" quotePrefix="0" xfId="0">
      <alignment horizontal="right" vertical="center" indent="1"/>
    </xf>
    <xf numFmtId="0" fontId="7" fillId="8" borderId="4" applyAlignment="1" pivotButton="0" quotePrefix="0" xfId="0">
      <alignment horizontal="center" vertical="center" wrapText="1"/>
    </xf>
    <xf numFmtId="164" fontId="52" fillId="6" borderId="1" applyAlignment="1" pivotButton="0" quotePrefix="0" xfId="0">
      <alignment horizontal="right" vertical="center" indent="1"/>
    </xf>
    <xf numFmtId="0" fontId="7" fillId="7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165" fontId="52" fillId="6" borderId="1" applyAlignment="1" pivotButton="0" quotePrefix="0" xfId="0">
      <alignment horizontal="right" vertical="center" indent="1"/>
    </xf>
    <xf numFmtId="0" fontId="53" fillId="0" borderId="0" applyAlignment="1" pivotButton="0" quotePrefix="0" xfId="0">
      <alignment horizontal="left" vertical="center" wrapText="1" indent="1"/>
    </xf>
    <xf numFmtId="0" fontId="0" fillId="2" borderId="4" applyAlignment="1" pivotButton="0" quotePrefix="0" xfId="0">
      <alignment horizontal="general" vertical="bottom"/>
    </xf>
    <xf numFmtId="0" fontId="17" fillId="12" borderId="0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0" fontId="17" fillId="13" borderId="0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 wrapText="1" indent="1"/>
    </xf>
    <xf numFmtId="0" fontId="45" fillId="0" borderId="0" applyAlignment="1" pivotButton="0" quotePrefix="0" xfId="0">
      <alignment horizontal="left" vertical="top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ont>
        <name val="Calibri"/>
        <charset val="1"/>
        <family val="0"/>
        <b val="1"/>
        <color rgb="FFC00000"/>
        <sz val="10"/>
      </font>
      <fill>
        <patternFill>
          <bgColor rgb="FFFCE4E4"/>
        </patternFill>
      </fill>
    </dxf>
    <dxf>
      <font>
        <name val="Calibri"/>
        <charset val="1"/>
        <family val="0"/>
        <b val="1"/>
        <color rgb="FFBF8F00"/>
        <sz val="1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548235"/>
        <sz val="10"/>
      </font>
      <fill>
        <patternFill>
          <bgColor rgb="FFE2EFDA"/>
        </patternFill>
      </fill>
    </dxf>
    <dxf>
      <font>
        <name val="Calibri"/>
        <charset val="1"/>
        <family val="0"/>
        <b val="1"/>
        <color rgb="FFC00000"/>
        <sz val="10"/>
      </font>
    </dxf>
    <dxf>
      <font>
        <name val="Calibri"/>
        <charset val="1"/>
        <family val="0"/>
        <b val="1"/>
        <color rgb="FF1F3864"/>
        <sz val="10"/>
      </font>
    </dxf>
    <dxf>
      <font>
        <name val="Calibri"/>
        <charset val="1"/>
        <family val="0"/>
        <b val="1"/>
        <color rgb="FF2E75B6"/>
        <sz val="10"/>
      </font>
    </dxf>
    <dxf>
      <font>
        <name val="Calibri"/>
        <charset val="1"/>
        <family val="0"/>
        <b val="1"/>
        <color rgb="FFED7D31"/>
        <sz val="10"/>
      </font>
    </dxf>
    <dxf>
      <font>
        <name val="Calibri"/>
        <charset val="1"/>
        <family val="0"/>
        <b val="1"/>
        <color rgb="FF548235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AFAFA"/>
      <rgbColor rgb="FFFF00FF"/>
      <rgbColor rgb="FF00FFFF"/>
      <rgbColor rgb="FF800000"/>
      <rgbColor rgb="FF548235"/>
      <rgbColor rgb="FF000080"/>
      <rgbColor rgb="FF8B6F0E"/>
      <rgbColor rgb="FF800080"/>
      <rgbColor rgb="FF4672A8"/>
      <rgbColor rgb="FFB8CD97"/>
      <rgbColor rgb="FF878787"/>
      <rgbColor rgb="FF93A9CE"/>
      <rgbColor rgb="FFAB4744"/>
      <rgbColor rgb="FFFFF2CC"/>
      <rgbColor rgb="FFF5F5F5"/>
      <rgbColor rgb="FF660066"/>
      <rgbColor rgb="FFDC853E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E2EFDA"/>
      <rgbColor rgb="FFFCE4E4"/>
      <rgbColor rgb="FF92C3D5"/>
      <rgbColor rgb="FFD09493"/>
      <rgbColor rgb="FFA99BBD"/>
      <rgbColor rgb="FFE8D27A"/>
      <rgbColor rgb="FF2E75B6"/>
      <rgbColor rgb="FF8AA64F"/>
      <rgbColor rgb="FF9BBB59"/>
      <rgbColor rgb="FFBF8F00"/>
      <rgbColor rgb="FFC9A227"/>
      <rgbColor rgb="FFED7D31"/>
      <rgbColor rgb="FF725990"/>
      <rgbColor rgb="FF8C8C8C"/>
      <rgbColor rgb="FF1F3864"/>
      <rgbColor rgb="FF4299B0"/>
      <rgbColor rgb="FF003300"/>
      <rgbColor rgb="FF595959"/>
      <rgbColor rgb="FF8064A2"/>
      <rgbColor rgb="FFC0504D"/>
      <rgbColor rgb="FF2E5597"/>
      <rgbColor rgb="FF0F1F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Proyeksi ROI: Investasi vs Hasil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'Profil Proyek'!C31</f>
              <strCache>
                <ptCount val="1"/>
                <pt idx="0">
                  <v>Nilai (Rp)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'Profil Proyek'!$B$32:$B$35</f>
              <strCache>
                <ptCount val="4"/>
                <pt idx="0">
                  <v>Harga Pembelian</v>
                </pt>
                <pt idx="1">
                  <v>Total Biaya Akuisisi</v>
                </pt>
                <pt idx="2">
                  <v>Estimasi Harga Jual</v>
                </pt>
                <pt idx="3">
                  <v>Estimasi Profit</v>
                </pt>
              </strCache>
            </strRef>
          </cat>
          <val>
            <numRef>
              <f>'Profil Proyek'!$C$32:$C$35</f>
              <numCache>
                <formatCode>_-"Rp"* #,##0_-;[RED]"-Rp"* #,##0_-;_-"Rp"* \-_-;_-@_-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gapWidth val="150"/>
        <overlap val="0"/>
        <axId val="84554398"/>
        <axId val="24162719"/>
      </barChart>
      <catAx>
        <axId val="84554398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4162719"/>
        <crosses val="autoZero"/>
        <auto val="1"/>
        <lblAlgn val="ctr"/>
        <lblOffset val="100"/>
        <noMultiLvlLbl val="0"/>
      </catAx>
      <valAx>
        <axId val="2416271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_-&quot;Rp&quot;* #,##0_-;[RED]&quot;-Rp&quot;* #,##0_-;_-&quot;Rp&quot;* \-_-;_-@_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455439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Anggaran vs Realisasi per Dompet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'Anggaran vs Realisasi'!D5</f>
              <strCache>
                <ptCount val="1"/>
                <pt idx="0">
                  <v>Anggaran (Rp)</v>
                </pt>
              </strCache>
            </strRef>
          </tx>
          <spPr>
            <a:solidFill xmlns:a="http://schemas.openxmlformats.org/drawingml/2006/main">
              <a:srgbClr val="4672a8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'Anggaran vs Realisasi'!$B$6:$B$9</f>
              <strCache>
                <ptCount val="4"/>
                <pt idx="0">
                  <v>Utama</v>
                </pt>
                <pt idx="1">
                  <v>Dokumen</v>
                </pt>
                <pt idx="2">
                  <v>Renovasi</v>
                </pt>
                <pt idx="3">
                  <v>Cadangan</v>
                </pt>
              </strCache>
            </strRef>
          </cat>
          <val>
            <numRef>
              <f>'Anggaran vs Realisasi'!$D$6:$D$9</f>
              <numCache>
                <formatCode>_-"Rp"* #,##0_-;[RED]"-Rp"* #,##0_-;_-"Rp"* \-_-;_-@_-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'Anggaran vs Realisasi'!E5</f>
              <strCache>
                <ptCount val="1"/>
                <pt idx="0">
                  <v>Realisasi (Rp)</v>
                </pt>
              </strCache>
            </strRef>
          </tx>
          <spPr>
            <a:solidFill xmlns:a="http://schemas.openxmlformats.org/drawingml/2006/main">
              <a:srgbClr val="93a9ce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'Anggaran vs Realisasi'!$B$6:$B$9</f>
              <strCache>
                <ptCount val="4"/>
                <pt idx="0">
                  <v>Utama</v>
                </pt>
                <pt idx="1">
                  <v>Dokumen</v>
                </pt>
                <pt idx="2">
                  <v>Renovasi</v>
                </pt>
                <pt idx="3">
                  <v>Cadangan</v>
                </pt>
              </strCache>
            </strRef>
          </cat>
          <val>
            <numRef>
              <f>'Anggaran vs Realisasi'!$E$6:$E$9</f>
              <numCache>
                <formatCode>_-"Rp"* #,##0_-;[RED]"-Rp"* #,##0_-;_-"Rp"* \-_-;_-@_-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gapWidth val="150"/>
        <overlap val="0"/>
        <axId val="28637137"/>
        <axId val="89190772"/>
      </barChart>
      <catAx>
        <axId val="2863713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Dompet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9190772"/>
        <crosses val="autoZero"/>
        <auto val="1"/>
        <lblAlgn val="ctr"/>
        <lblOffset val="100"/>
        <noMultiLvlLbl val="0"/>
      </catAx>
      <valAx>
        <axId val="8919077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_-&quot;Rp&quot;* #,##0_-;[RED]&quot;-Rp&quot;* #,##0_-;_-&quot;Rp&quot;* \-_-;_-@_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863713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Komposisi Realisasi per Dompet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'Anggaran vs Realisasi'!E5</f>
              <strCache>
                <ptCount val="1"/>
                <pt idx="0">
                  <v>Realisasi (Rp)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_-&quot;Rp&quot;* #,##0_-;[RED]&quot;-Rp&quot;* #,##0_-;_-&quot;Rp&quot;* \-_-;_-@_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'Anggaran vs Realisasi'!$B$6:$B$9</f>
              <strCache>
                <ptCount val="4"/>
                <pt idx="0">
                  <v>Utama</v>
                </pt>
                <pt idx="1">
                  <v>Dokumen</v>
                </pt>
                <pt idx="2">
                  <v>Renovasi</v>
                </pt>
                <pt idx="3">
                  <v>Cadangan</v>
                </pt>
              </strCache>
            </strRef>
          </cat>
          <val>
            <numRef>
              <f>'Anggaran vs Realisasi'!$E$6:$E$9</f>
              <numCache>
                <formatCode>_-"Rp"* #,##0_-;[RED]"-Rp"* #,##0_-;_-"Rp"* \-_-;_-@_-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Komposisi Pengeluaran per Kategori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'Breakdown Kategori'!C6</f>
              <strCache>
                <ptCount val="1"/>
                <pt idx="0">
                  <v>Total Pengeluaran (Rp)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8cd97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a99b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92c3d5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5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6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7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8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9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0"/>
              <numFmt formatCode="_-&quot;Rp&quot;* #,##0_-;[RED]&quot;-Rp&quot;* #,##0_-;_-&quot;Rp&quot;* \-_-;_-@_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_-&quot;Rp&quot;* #,##0_-;[RED]&quot;-Rp&quot;* #,##0_-;_-&quot;Rp&quot;* \-_-;_-@_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'Breakdown Kategori'!$B$7:$B$17</f>
              <strCache>
                <ptCount val="11"/>
                <pt idx="0">
                  <v>Pendanaan Investor</v>
                </pt>
                <pt idx="1">
                  <v>Modal Internal</v>
                </pt>
                <pt idx="2">
                  <v>Pengembalian Modal</v>
                </pt>
                <pt idx="3">
                  <v>Pembayaran Lelang</v>
                </pt>
                <pt idx="4">
                  <v>Biaya Eksekusi</v>
                </pt>
                <pt idx="5">
                  <v>Balik Nama</v>
                </pt>
                <pt idx="6">
                  <v>Renovasi</v>
                </pt>
                <pt idx="7">
                  <v>Operasional</v>
                </pt>
                <pt idx="8">
                  <v>Pengeluaran Lainnya</v>
                </pt>
                <pt idx="9">
                  <v>Penjualan Properti</v>
                </pt>
                <pt idx="10">
                  <v>Pemasukan Lainnya</v>
                </pt>
              </strCache>
            </strRef>
          </cat>
          <val>
            <numRef>
              <f>'Breakdown Kategori'!$C$7:$C$17</f>
              <numCache>
                <formatCode>_-"Rp"* #,##0_-;[RED]"-Rp"* #,##0_-;_-"Rp"* \-_-;_-@_-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E5" authorId="0" shapeId="0">
      <text>
        <t>Diisi dari mapping: Limit Lelang + Spare Bidding + Biaya Eksekusi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E5" authorId="0" shapeId="0">
      <text>
        <t>Diisi dari mapping: Biaya Balik Nama (Notaris, BPN, Pajak)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E5" authorId="0" shapeId="0">
      <text>
        <t>Diisi dari mapping: Biaya Balik Nama (Notaris, BPN, Pajak)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E5" authorId="0" shapeId="0">
      <text>
        <t>Diisi dari mapping: Renovasi &amp; Peningkatan Properti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E5" authorId="0" shapeId="0">
      <text>
        <t>Diisi dari mapping: Dana Cadangan / Kontingensi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29</row>
      <rowOff>0</rowOff>
    </from>
    <to>
      <col>10</col>
      <colOff>463320</colOff>
      <row>40</row>
      <rowOff>145800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14</row>
      <rowOff>0</rowOff>
    </from>
    <to>
      <col>5</col>
      <colOff>543600</colOff>
      <row>31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14</row>
      <rowOff>0</rowOff>
    </from>
    <to>
      <col>8</col>
      <colOff>1217880</colOff>
      <row>31</row>
      <rowOff>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5</col>
      <colOff>0</colOff>
      <row>5</row>
      <rowOff>0</rowOff>
    </from>
    <to>
      <col>12</col>
      <colOff>70920</colOff>
      <row>20</row>
      <rowOff>147600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1"/>
  </sheetPr>
  <dimension ref="B2:G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22" customWidth="1" style="123" min="2" max="7"/>
    <col width="2" customWidth="1" style="123" min="8" max="8"/>
  </cols>
  <sheetData>
    <row r="1" ht="7.5" customHeight="1" s="124"/>
    <row r="2" ht="25.5" customHeight="1" s="124">
      <c r="B2" s="125" t="n"/>
      <c r="C2" s="125" t="n"/>
      <c r="D2" s="125" t="n"/>
      <c r="E2" s="125" t="n"/>
      <c r="F2" s="125" t="n"/>
      <c r="G2" s="125" t="n"/>
    </row>
    <row r="3" ht="25.5" customHeight="1" s="124">
      <c r="B3" s="126" t="inlineStr">
        <is>
          <t>SOLUSINDO PREMIER</t>
        </is>
      </c>
    </row>
    <row r="4" ht="25.5" customHeight="1" s="124">
      <c r="B4" s="127" t="inlineStr">
        <is>
          <t>LAPORAN KEUANGAN PROYEK LELANG</t>
        </is>
      </c>
    </row>
    <row r="5" ht="25.5" customHeight="1" s="124">
      <c r="B5" s="128" t="inlineStr">
        <is>
          <t>Untuk Pemegang Saham &amp; Investor</t>
        </is>
      </c>
    </row>
    <row r="6" ht="25.5" customHeight="1" s="124">
      <c r="B6" s="125" t="n"/>
      <c r="C6" s="125" t="n"/>
      <c r="D6" s="125" t="n"/>
      <c r="E6" s="125" t="n"/>
      <c r="F6" s="125" t="n"/>
      <c r="G6" s="125" t="n"/>
    </row>
    <row r="7" ht="6" customHeight="1" s="124">
      <c r="B7" s="129" t="n"/>
      <c r="C7" s="129" t="n"/>
      <c r="D7" s="129" t="n"/>
      <c r="E7" s="129" t="n"/>
      <c r="F7" s="129" t="n"/>
      <c r="G7" s="129" t="n"/>
    </row>
    <row r="8" ht="18" customHeight="1" s="124"/>
    <row r="9" ht="24" customHeight="1" s="124">
      <c r="B9" s="130" t="inlineStr">
        <is>
          <t>ID PROYEK</t>
        </is>
      </c>
      <c r="C9" s="131" t="n"/>
      <c r="D9" s="132" t="inlineStr">
        <is>
          <t>[FLPxxxx]</t>
        </is>
      </c>
      <c r="E9" s="133" t="n"/>
      <c r="F9" s="133" t="n"/>
      <c r="G9" s="131" t="n"/>
    </row>
    <row r="11" ht="25.5" customHeight="1" s="124">
      <c r="B11" s="134" t="inlineStr">
        <is>
          <t>IDENTITAS PROYEK</t>
        </is>
      </c>
      <c r="C11" s="135" t="n"/>
      <c r="D11" s="135" t="n"/>
      <c r="E11" s="135" t="n"/>
      <c r="F11" s="135" t="n"/>
      <c r="G11" s="135" t="n"/>
    </row>
    <row r="13" ht="21.75" customHeight="1" s="124">
      <c r="B13" s="136" t="inlineStr">
        <is>
          <t>Nama Proyek</t>
        </is>
      </c>
      <c r="C13" s="131" t="n"/>
      <c r="D13" s="137" t="inlineStr">
        <is>
          <t>[nama_project]</t>
        </is>
      </c>
      <c r="E13" s="133" t="n"/>
      <c r="F13" s="133" t="n"/>
      <c r="G13" s="131" t="n"/>
    </row>
    <row r="14" ht="21.75" customHeight="1" s="124">
      <c r="B14" s="136" t="inlineStr">
        <is>
          <t>Alamat Properti</t>
        </is>
      </c>
      <c r="C14" s="131" t="n"/>
      <c r="D14" s="137" t="inlineStr">
        <is>
          <t>[alamat_property]</t>
        </is>
      </c>
      <c r="E14" s="133" t="n"/>
      <c r="F14" s="133" t="n"/>
      <c r="G14" s="131" t="n"/>
    </row>
    <row r="15" ht="21.75" customHeight="1" s="124">
      <c r="B15" s="136" t="inlineStr">
        <is>
          <t>Lokasi</t>
        </is>
      </c>
      <c r="C15" s="131" t="n"/>
      <c r="D15" s="137" t="inlineStr">
        <is>
          <t>[kota, kecamatan, kelurahan, provinsi]</t>
        </is>
      </c>
      <c r="E15" s="133" t="n"/>
      <c r="F15" s="133" t="n"/>
      <c r="G15" s="131" t="n"/>
    </row>
    <row r="16" ht="21.75" customHeight="1" s="124">
      <c r="B16" s="136" t="inlineStr">
        <is>
          <t>Tanggal Pembelian</t>
        </is>
      </c>
      <c r="C16" s="131" t="n"/>
      <c r="D16" s="137" t="inlineStr">
        <is>
          <t>[tanggal_pembelian]</t>
        </is>
      </c>
      <c r="E16" s="133" t="n"/>
      <c r="F16" s="133" t="n"/>
      <c r="G16" s="131" t="n"/>
    </row>
    <row r="17" ht="21.75" customHeight="1" s="124">
      <c r="B17" s="136" t="inlineStr">
        <is>
          <t>Tanggal Mulai</t>
        </is>
      </c>
      <c r="C17" s="131" t="n"/>
      <c r="D17" s="137" t="inlineStr">
        <is>
          <t>[mulai_tanggal]</t>
        </is>
      </c>
      <c r="E17" s="133" t="n"/>
      <c r="F17" s="133" t="n"/>
      <c r="G17" s="131" t="n"/>
    </row>
    <row r="18" ht="21.75" customHeight="1" s="124">
      <c r="B18" s="136" t="inlineStr">
        <is>
          <t>Estimasi Selesai</t>
        </is>
      </c>
      <c r="C18" s="131" t="n"/>
      <c r="D18" s="137" t="inlineStr">
        <is>
          <t>[estimasi_selesai]</t>
        </is>
      </c>
      <c r="E18" s="133" t="n"/>
      <c r="F18" s="133" t="n"/>
      <c r="G18" s="131" t="n"/>
    </row>
    <row r="19" ht="21.75" customHeight="1" s="124">
      <c r="B19" s="136" t="inlineStr">
        <is>
          <t>Estimasi Durasi</t>
        </is>
      </c>
      <c r="C19" s="131" t="n"/>
      <c r="D19" s="137" t="inlineStr">
        <is>
          <t>[estimasi_bulan (bulan)]</t>
        </is>
      </c>
      <c r="E19" s="133" t="n"/>
      <c r="F19" s="133" t="n"/>
      <c r="G19" s="131" t="n"/>
    </row>
    <row r="20" ht="21.75" customHeight="1" s="124">
      <c r="B20" s="136" t="inlineStr">
        <is>
          <t>Status Proyek</t>
        </is>
      </c>
      <c r="C20" s="131" t="n"/>
      <c r="D20" s="137" t="inlineStr">
        <is>
          <t>[status]</t>
        </is>
      </c>
      <c r="E20" s="133" t="n"/>
      <c r="F20" s="133" t="n"/>
      <c r="G20" s="131" t="n"/>
    </row>
    <row r="21" ht="21.75" customHeight="1" s="124">
      <c r="B21" s="136" t="inlineStr">
        <is>
          <t>Jenis Pendanaan</t>
        </is>
      </c>
      <c r="C21" s="131" t="n"/>
      <c r="D21" s="137" t="inlineStr">
        <is>
          <t>[jenis_pendanaan]</t>
        </is>
      </c>
      <c r="E21" s="133" t="n"/>
      <c r="F21" s="133" t="n"/>
      <c r="G21" s="131" t="n"/>
    </row>
    <row r="22" ht="21.75" customHeight="1" s="124">
      <c r="B22" s="136" t="inlineStr">
        <is>
          <t>Penanggung Jawab</t>
        </is>
      </c>
      <c r="C22" s="131" t="n"/>
      <c r="D22" s="137" t="inlineStr">
        <is>
          <t>[dibuat_oleh (Agent)]</t>
        </is>
      </c>
      <c r="E22" s="133" t="n"/>
      <c r="F22" s="133" t="n"/>
      <c r="G22" s="131" t="n"/>
    </row>
    <row r="25" ht="25.5" customHeight="1" s="124">
      <c r="B25" s="134" t="inlineStr">
        <is>
          <t>RINGKASAN INVESTASI</t>
        </is>
      </c>
      <c r="C25" s="135" t="n"/>
      <c r="D25" s="135" t="n"/>
      <c r="E25" s="135" t="n"/>
      <c r="F25" s="135" t="n"/>
      <c r="G25" s="135" t="n"/>
    </row>
    <row r="27" ht="21.75" customHeight="1" s="124">
      <c r="B27" s="138" t="inlineStr">
        <is>
          <t>Harga Pembelian</t>
        </is>
      </c>
      <c r="D27" s="139" t="inlineStr">
        <is>
          <t>Estimasi Harga Jual</t>
        </is>
      </c>
      <c r="F27" s="140" t="inlineStr">
        <is>
          <t>Estimasi Profit Bersih</t>
        </is>
      </c>
    </row>
    <row r="28" ht="36" customHeight="1" s="124">
      <c r="B28" s="141">
        <f>'Profil Proyek'!D9</f>
        <v/>
      </c>
      <c r="C28" s="133" t="n"/>
      <c r="D28" s="142">
        <f>'Profil Proyek'!D10</f>
        <v/>
      </c>
      <c r="E28" s="133" t="n"/>
      <c r="F28" s="143">
        <f>'Profil Proyek'!D11</f>
        <v/>
      </c>
      <c r="G28" s="133" t="n"/>
    </row>
    <row r="29" ht="18" customHeight="1" s="124">
      <c r="B29" s="144" t="n"/>
      <c r="C29" s="133" t="n"/>
      <c r="D29" s="144" t="n"/>
      <c r="E29" s="133" t="n"/>
      <c r="F29" s="144" t="n"/>
      <c r="G29" s="133" t="n"/>
    </row>
    <row r="32" ht="15" customHeight="1" s="124">
      <c r="B32" s="145" t="inlineStr">
        <is>
          <t>Dokumen ini bersifat rahasia dan diperuntukkan bagi pemegang saham, investor, dan manajemen Solusindo Premier.</t>
        </is>
      </c>
    </row>
    <row r="33" ht="15" customHeight="1" s="124">
      <c r="B33" s="146" t="inlineStr">
        <is>
          <t>Sel berwarna BIRU adalah data export dari database. Sel HITAM adalah hasil kalkulasi otomatis.</t>
        </is>
      </c>
    </row>
  </sheetData>
  <mergeCells count="38">
    <mergeCell ref="D18:G18"/>
    <mergeCell ref="B16:C16"/>
    <mergeCell ref="D9:G9"/>
    <mergeCell ref="F29:G29"/>
    <mergeCell ref="B22:C22"/>
    <mergeCell ref="D15:G15"/>
    <mergeCell ref="B27:C27"/>
    <mergeCell ref="B18:C18"/>
    <mergeCell ref="D14:G14"/>
    <mergeCell ref="B21:C21"/>
    <mergeCell ref="D20:G20"/>
    <mergeCell ref="D27:E27"/>
    <mergeCell ref="B14:C14"/>
    <mergeCell ref="D19:G19"/>
    <mergeCell ref="B17:C17"/>
    <mergeCell ref="B33:G33"/>
    <mergeCell ref="B13:C13"/>
    <mergeCell ref="D22:G22"/>
    <mergeCell ref="B29:C29"/>
    <mergeCell ref="B5:G5"/>
    <mergeCell ref="B19:C19"/>
    <mergeCell ref="B28:C28"/>
    <mergeCell ref="D21:G21"/>
    <mergeCell ref="B4:G4"/>
    <mergeCell ref="D28:E28"/>
    <mergeCell ref="F28:G28"/>
    <mergeCell ref="B32:G32"/>
    <mergeCell ref="D13:G13"/>
    <mergeCell ref="B9:C9"/>
    <mergeCell ref="F27:G27"/>
    <mergeCell ref="B25:G25"/>
    <mergeCell ref="B3:G3"/>
    <mergeCell ref="D17:G17"/>
    <mergeCell ref="B15:C15"/>
    <mergeCell ref="B20:C20"/>
    <mergeCell ref="D29:E29"/>
    <mergeCell ref="D16:G16"/>
    <mergeCell ref="B11:G11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B6F0E"/>
    <outlinePr summaryBelow="1" summaryRight="1"/>
    <pageSetUpPr fitToPage="1"/>
  </sheetPr>
  <dimension ref="B2:G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28" customWidth="1" style="123" min="2" max="2"/>
    <col width="22" customWidth="1" style="123" min="3" max="3"/>
    <col width="20" customWidth="1" style="123" min="4" max="4"/>
    <col width="22" customWidth="1" style="123" min="5" max="7"/>
    <col width="2" customWidth="1" style="123" min="8" max="8"/>
  </cols>
  <sheetData>
    <row r="1" ht="7.5" customHeight="1" s="124"/>
    <row r="2" ht="30" customHeight="1" s="124">
      <c r="B2" s="147" t="inlineStr">
        <is>
          <t>PROFIL &amp; VALUASI PROYEK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</row>
    <row r="5" ht="24" customHeight="1" s="124">
      <c r="B5" s="148" t="inlineStr">
        <is>
          <t>▎ VALUASI PROPERTI</t>
        </is>
      </c>
      <c r="C5" s="135" t="n"/>
      <c r="D5" s="135" t="n"/>
      <c r="E5" s="135" t="n"/>
      <c r="F5" s="135" t="n"/>
      <c r="G5" s="135" t="n"/>
    </row>
    <row r="7" ht="27.75" customHeight="1" s="124">
      <c r="B7" s="149" t="inlineStr">
        <is>
          <t>Komponen</t>
        </is>
      </c>
      <c r="C7" s="149" t="inlineStr">
        <is>
          <t>Field Database</t>
        </is>
      </c>
      <c r="D7" s="149" t="inlineStr">
        <is>
          <t>Nilai (Rp)</t>
        </is>
      </c>
      <c r="E7" s="149" t="inlineStr">
        <is>
          <t>% dari Harga Jual</t>
        </is>
      </c>
      <c r="F7" s="150" t="n"/>
      <c r="G7" s="151" t="n"/>
    </row>
    <row r="9" ht="24" customHeight="1" s="124">
      <c r="B9" s="152" t="inlineStr">
        <is>
          <t>Harga Pembelian Properti</t>
        </is>
      </c>
      <c r="C9" s="153" t="inlineStr">
        <is>
          <t>harga_pembelian</t>
        </is>
      </c>
      <c r="D9" s="154" t="n">
        <v>0</v>
      </c>
      <c r="E9" s="155">
        <f>IFERROR(D9/$D$10,0)</f>
        <v/>
      </c>
      <c r="F9" s="133" t="n"/>
      <c r="G9" s="131" t="n"/>
    </row>
    <row r="10" ht="24" customHeight="1" s="124">
      <c r="B10" s="156" t="inlineStr">
        <is>
          <t>Estimasi Harga Jual</t>
        </is>
      </c>
      <c r="C10" s="157" t="inlineStr">
        <is>
          <t>estimasi_harga_jual</t>
        </is>
      </c>
      <c r="D10" s="158" t="n">
        <v>0</v>
      </c>
      <c r="E10" s="159">
        <f>IFERROR(D10/$D$10,0)</f>
        <v/>
      </c>
      <c r="F10" s="133" t="n"/>
      <c r="G10" s="131" t="n"/>
    </row>
    <row r="11" ht="24" customHeight="1" s="124">
      <c r="B11" s="152" t="inlineStr">
        <is>
          <t>Estimasi Profit Bersih</t>
        </is>
      </c>
      <c r="C11" s="153" t="inlineStr">
        <is>
          <t>estimasi_profit_bersih</t>
        </is>
      </c>
      <c r="D11" s="154" t="n">
        <v>0</v>
      </c>
      <c r="E11" s="155">
        <f>IFERROR(D11/$D$10,0)</f>
        <v/>
      </c>
      <c r="F11" s="133" t="n"/>
      <c r="G11" s="131" t="n"/>
    </row>
    <row r="13" ht="24" customHeight="1" s="124">
      <c r="B13" s="148" t="inlineStr">
        <is>
          <t>▎ BREAKDOWN BIAYA AKUISISI</t>
        </is>
      </c>
      <c r="C13" s="135" t="n"/>
      <c r="D13" s="135" t="n"/>
      <c r="E13" s="135" t="n"/>
      <c r="F13" s="135" t="n"/>
      <c r="G13" s="135" t="n"/>
    </row>
    <row r="14" ht="27.75" customHeight="1" s="124">
      <c r="B14" s="149" t="inlineStr">
        <is>
          <t>Komponen Biaya</t>
        </is>
      </c>
      <c r="C14" s="149" t="inlineStr">
        <is>
          <t>Field Database</t>
        </is>
      </c>
      <c r="D14" s="149" t="inlineStr">
        <is>
          <t>Nilai (Rp)</t>
        </is>
      </c>
      <c r="E14" s="149" t="inlineStr">
        <is>
          <t>% Komposisi</t>
        </is>
      </c>
      <c r="F14" s="150" t="n"/>
      <c r="G14" s="151" t="n"/>
    </row>
    <row r="15" ht="21.75" customHeight="1" s="124">
      <c r="B15" s="160" t="inlineStr">
        <is>
          <t xml:space="preserve">  ● Nilai Limit Lelang</t>
        </is>
      </c>
      <c r="C15" s="153" t="inlineStr">
        <is>
          <t>nilai_limit_lelang  →  Utama</t>
        </is>
      </c>
      <c r="D15" s="161" t="n">
        <v>0</v>
      </c>
      <c r="E15" s="155">
        <f>IFERROR(D15/$D$21,0)</f>
        <v/>
      </c>
      <c r="F15" s="133" t="n"/>
      <c r="G15" s="131" t="n"/>
    </row>
    <row r="16" ht="21.75" customHeight="1" s="124">
      <c r="B16" s="162" t="inlineStr">
        <is>
          <t xml:space="preserve">  ● Spare Bidding</t>
        </is>
      </c>
      <c r="C16" s="157" t="inlineStr">
        <is>
          <t>spare_bidding  →  Utama</t>
        </is>
      </c>
      <c r="D16" s="163" t="n">
        <v>0</v>
      </c>
      <c r="E16" s="159">
        <f>IFERROR(D16/$D$21,0)</f>
        <v/>
      </c>
      <c r="F16" s="133" t="n"/>
      <c r="G16" s="131" t="n"/>
    </row>
    <row r="17" ht="21.75" customHeight="1" s="124">
      <c r="B17" s="160" t="inlineStr">
        <is>
          <t xml:space="preserve">  ● Biaya Eksekusi</t>
        </is>
      </c>
      <c r="C17" s="153" t="inlineStr">
        <is>
          <t>biaya_eksekusi  →  Eksekusi</t>
        </is>
      </c>
      <c r="D17" s="161" t="n">
        <v>0</v>
      </c>
      <c r="E17" s="155">
        <f>IFERROR(D17/$D$21,0)</f>
        <v/>
      </c>
      <c r="F17" s="133" t="n"/>
      <c r="G17" s="131" t="n"/>
    </row>
    <row r="18" ht="21.75" customHeight="1" s="124">
      <c r="B18" s="164" t="inlineStr">
        <is>
          <t xml:space="preserve">  ● Biaya Balik Nama</t>
        </is>
      </c>
      <c r="C18" s="157" t="inlineStr">
        <is>
          <t>biaya_balik_nama  →  Dokumen</t>
        </is>
      </c>
      <c r="D18" s="163" t="n">
        <v>0</v>
      </c>
      <c r="E18" s="159">
        <f>IFERROR(D18/$D$21,0)</f>
        <v/>
      </c>
      <c r="F18" s="133" t="n"/>
      <c r="G18" s="131" t="n"/>
    </row>
    <row r="19" ht="21.75" customHeight="1" s="124">
      <c r="B19" s="165" t="inlineStr">
        <is>
          <t xml:space="preserve">  ● Biaya Renovasi</t>
        </is>
      </c>
      <c r="C19" s="153" t="inlineStr">
        <is>
          <t>biaya_renov  →  Renovasi</t>
        </is>
      </c>
      <c r="D19" s="161" t="n">
        <v>0</v>
      </c>
      <c r="E19" s="155">
        <f>IFERROR(D19/$D$21,0)</f>
        <v/>
      </c>
      <c r="F19" s="133" t="n"/>
      <c r="G19" s="131" t="n"/>
    </row>
    <row r="20" ht="21.75" customHeight="1" s="124">
      <c r="B20" s="166" t="inlineStr">
        <is>
          <t xml:space="preserve">  ● Dana Cadangan</t>
        </is>
      </c>
      <c r="C20" s="157" t="inlineStr">
        <is>
          <t>dana_cadangan  →  Cadangan</t>
        </is>
      </c>
      <c r="D20" s="163" t="n">
        <v>0</v>
      </c>
      <c r="E20" s="159">
        <f>IFERROR(D20/$D$21,0)</f>
        <v/>
      </c>
      <c r="F20" s="133" t="n"/>
      <c r="G20" s="131" t="n"/>
    </row>
    <row r="21" ht="30" customHeight="1" s="124">
      <c r="B21" s="167" t="inlineStr">
        <is>
          <t>TOTAL BIAYA AKUISISI</t>
        </is>
      </c>
      <c r="C21" s="168" t="inlineStr">
        <is>
          <t>total_biaya_akuisisi</t>
        </is>
      </c>
      <c r="D21" s="169">
        <f>SUM(D15:D20)</f>
        <v/>
      </c>
      <c r="E21" s="170" t="inlineStr">
        <is>
          <t>100.0%</t>
        </is>
      </c>
      <c r="F21" s="150" t="n"/>
      <c r="G21" s="151" t="n"/>
    </row>
    <row r="23" ht="24" customHeight="1" s="124">
      <c r="B23" s="148" t="inlineStr">
        <is>
          <t>▎ STATUS PENDANAAN</t>
        </is>
      </c>
      <c r="C23" s="135" t="n"/>
      <c r="D23" s="135" t="n"/>
      <c r="E23" s="135" t="n"/>
      <c r="F23" s="135" t="n"/>
      <c r="G23" s="135" t="n"/>
    </row>
    <row r="24" ht="27.75" customHeight="1" s="124">
      <c r="B24" s="149" t="inlineStr">
        <is>
          <t>Komponen</t>
        </is>
      </c>
      <c r="C24" s="149" t="inlineStr">
        <is>
          <t>Field Database</t>
        </is>
      </c>
      <c r="D24" s="149" t="inlineStr">
        <is>
          <t>Nilai (Rp)</t>
        </is>
      </c>
      <c r="E24" s="149" t="inlineStr">
        <is>
          <t>% Pencapaian</t>
        </is>
      </c>
      <c r="F24" s="150" t="n"/>
      <c r="G24" s="151" t="n"/>
    </row>
    <row r="25" ht="24" customHeight="1" s="124">
      <c r="B25" s="152" t="inlineStr">
        <is>
          <t>Target Pendanaan</t>
        </is>
      </c>
      <c r="C25" s="153" t="inlineStr">
        <is>
          <t>target_pendanaan</t>
        </is>
      </c>
      <c r="D25" s="154" t="n">
        <v>0</v>
      </c>
      <c r="E25" s="171" t="inlineStr">
        <is>
          <t>100.0%</t>
        </is>
      </c>
      <c r="F25" s="133" t="n"/>
      <c r="G25" s="131" t="n"/>
    </row>
    <row r="26" ht="24" customHeight="1" s="124">
      <c r="B26" s="156" t="inlineStr">
        <is>
          <t>Total Pendanaan Terkumpul</t>
        </is>
      </c>
      <c r="C26" s="157" t="inlineStr">
        <is>
          <t>total_pendanaan</t>
        </is>
      </c>
      <c r="D26" s="158" t="n">
        <v>0</v>
      </c>
      <c r="E26" s="172">
        <f>IFERROR(D26/D25,0)</f>
        <v/>
      </c>
      <c r="F26" s="133" t="n"/>
      <c r="G26" s="131" t="n"/>
    </row>
    <row r="27" ht="24" customHeight="1" s="124">
      <c r="B27" s="152" t="inlineStr">
        <is>
          <t>Selisih (Gap Pendanaan)</t>
        </is>
      </c>
      <c r="C27" s="153" t="inlineStr">
        <is>
          <t>Target − Terkumpul (otomatis)</t>
        </is>
      </c>
      <c r="D27" s="173">
        <f>D25-D26</f>
        <v/>
      </c>
      <c r="E27" s="155">
        <f>IFERROR(D27/D25,0)</f>
        <v/>
      </c>
      <c r="F27" s="133" t="n"/>
      <c r="G27" s="131" t="n"/>
    </row>
    <row r="29" ht="24" customHeight="1" s="124">
      <c r="B29" s="148" t="inlineStr">
        <is>
          <t>▎ PROYEKSI ROI</t>
        </is>
      </c>
      <c r="C29" s="135" t="n"/>
      <c r="D29" s="135" t="n"/>
      <c r="E29" s="135" t="n"/>
      <c r="F29" s="135" t="n"/>
      <c r="G29" s="135" t="n"/>
    </row>
    <row r="31" ht="21.75" customHeight="1" s="124">
      <c r="B31" s="174" t="inlineStr">
        <is>
          <t>Komponen</t>
        </is>
      </c>
      <c r="C31" s="174" t="inlineStr">
        <is>
          <t>Nilai (Rp)</t>
        </is>
      </c>
    </row>
    <row r="32" ht="19.5" customHeight="1" s="124">
      <c r="B32" s="175" t="inlineStr">
        <is>
          <t>Harga Pembelian</t>
        </is>
      </c>
      <c r="C32" s="176">
        <f>D9</f>
        <v/>
      </c>
    </row>
    <row r="33" ht="19.5" customHeight="1" s="124">
      <c r="B33" s="177" t="inlineStr">
        <is>
          <t>Total Biaya Akuisisi</t>
        </is>
      </c>
      <c r="C33" s="178">
        <f>D21</f>
        <v/>
      </c>
    </row>
    <row r="34" ht="19.5" customHeight="1" s="124">
      <c r="B34" s="175" t="inlineStr">
        <is>
          <t>Estimasi Harga Jual</t>
        </is>
      </c>
      <c r="C34" s="176">
        <f>D10</f>
        <v/>
      </c>
    </row>
    <row r="35" ht="19.5" customHeight="1" s="124">
      <c r="B35" s="177" t="inlineStr">
        <is>
          <t>Estimasi Profit</t>
        </is>
      </c>
      <c r="C35" s="178">
        <f>D11</f>
        <v/>
      </c>
    </row>
    <row r="37" ht="24" customHeight="1" s="124">
      <c r="B37" s="179" t="inlineStr">
        <is>
          <t>ROI %</t>
        </is>
      </c>
      <c r="C37" s="133" t="n"/>
      <c r="D37" s="180" t="inlineStr">
        <is>
          <t>Margin Jual</t>
        </is>
      </c>
      <c r="E37" s="133" t="n"/>
      <c r="F37" s="181" t="inlineStr">
        <is>
          <t>Markup</t>
        </is>
      </c>
      <c r="G37" s="133" t="n"/>
    </row>
    <row r="38" ht="31.5" customHeight="1" s="124">
      <c r="B38" s="182">
        <f>IFERROR(D11/D21,0)</f>
        <v/>
      </c>
      <c r="C38" s="133" t="n"/>
      <c r="D38" s="183">
        <f>IFERROR(D11/D10,0)</f>
        <v/>
      </c>
      <c r="E38" s="133" t="n"/>
      <c r="F38" s="184">
        <f>IFERROR((D10-D21)/D21,0)</f>
        <v/>
      </c>
      <c r="G38" s="133" t="n"/>
    </row>
  </sheetData>
  <mergeCells count="27">
    <mergeCell ref="B2:G2"/>
    <mergeCell ref="E10:G10"/>
    <mergeCell ref="E19:G19"/>
    <mergeCell ref="B23:G23"/>
    <mergeCell ref="E9:G9"/>
    <mergeCell ref="B13:G13"/>
    <mergeCell ref="E15:G15"/>
    <mergeCell ref="B29:G29"/>
    <mergeCell ref="E11:G11"/>
    <mergeCell ref="E27:G27"/>
    <mergeCell ref="E26:G26"/>
    <mergeCell ref="E7:G7"/>
    <mergeCell ref="E25:G25"/>
    <mergeCell ref="E16:G16"/>
    <mergeCell ref="B38:C38"/>
    <mergeCell ref="B5:G5"/>
    <mergeCell ref="F38:G38"/>
    <mergeCell ref="B37:C37"/>
    <mergeCell ref="D37:E37"/>
    <mergeCell ref="E18:G18"/>
    <mergeCell ref="E21:G21"/>
    <mergeCell ref="E24:G24"/>
    <mergeCell ref="F37:G37"/>
    <mergeCell ref="E14:G14"/>
    <mergeCell ref="D38:E38"/>
    <mergeCell ref="E17:G17"/>
    <mergeCell ref="E20:G20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C9A227"/>
    <outlinePr summaryBelow="1" summaryRight="1"/>
    <pageSetUpPr fitToPage="1"/>
  </sheetPr>
  <dimension ref="B2:H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24" customWidth="1" style="123" min="2" max="2"/>
    <col width="18" customWidth="1" style="123" min="3" max="6"/>
    <col width="14" customWidth="1" style="123" min="7" max="7"/>
    <col width="16" customWidth="1" style="123" min="8" max="8"/>
    <col width="2" customWidth="1" style="123" min="9" max="9"/>
  </cols>
  <sheetData>
    <row r="1" ht="7.5" customHeight="1" s="124"/>
    <row r="2" ht="30" customHeight="1" s="124">
      <c r="B2" s="147" t="inlineStr">
        <is>
          <t>RINGKASAN EKSEKUTIF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  <c r="H3" s="129" t="n"/>
    </row>
    <row r="5" ht="21.75" customHeight="1" s="124">
      <c r="B5" s="138" t="inlineStr">
        <is>
          <t>TOTAL ANGGARAN</t>
        </is>
      </c>
      <c r="D5" s="139" t="inlineStr">
        <is>
          <t>TOTAL REALISASI</t>
        </is>
      </c>
      <c r="E5" s="185" t="inlineStr">
        <is>
          <t>% PENYERAPAN</t>
        </is>
      </c>
      <c r="G5" s="140" t="inlineStr">
        <is>
          <t>SISA ANGGARAN</t>
        </is>
      </c>
    </row>
    <row r="6" ht="37.5" customHeight="1" s="124">
      <c r="B6" s="186">
        <f>'Anggaran vs Realisasi'!D10</f>
        <v/>
      </c>
      <c r="C6" s="133" t="n"/>
      <c r="D6" s="187">
        <f>'Anggaran vs Realisasi'!E10</f>
        <v/>
      </c>
      <c r="E6" s="188">
        <f>IFERROR('Anggaran vs Realisasi'!E10/'Anggaran vs Realisasi'!D10,0)</f>
        <v/>
      </c>
      <c r="F6" s="133" t="n"/>
      <c r="G6" s="189">
        <f>'Anggaran vs Realisasi'!F10</f>
        <v/>
      </c>
      <c r="H6" s="133" t="n"/>
    </row>
    <row r="7" ht="18" customHeight="1" s="124">
      <c r="B7" s="190" t="inlineStr">
        <is>
          <t>Plafon disetujui</t>
        </is>
      </c>
      <c r="C7" s="133" t="n"/>
      <c r="D7" s="191" t="inlineStr">
        <is>
          <t>Pengeluaran aktual</t>
        </is>
      </c>
      <c r="E7" s="190" t="inlineStr">
        <is>
          <t>Realisasi / Anggaran</t>
        </is>
      </c>
      <c r="F7" s="133" t="n"/>
      <c r="G7" s="190" t="inlineStr">
        <is>
          <t>Surplus / (Defisit)</t>
        </is>
      </c>
      <c r="H7" s="133" t="n"/>
    </row>
    <row r="9" ht="25.5" customHeight="1" s="124">
      <c r="B9" s="192" t="inlineStr">
        <is>
          <t>▎ ARUS KAS PROYEK</t>
        </is>
      </c>
      <c r="C9" s="135" t="n"/>
      <c r="D9" s="135" t="n"/>
      <c r="E9" s="135" t="n"/>
      <c r="F9" s="135" t="n"/>
      <c r="G9" s="135" t="n"/>
      <c r="H9" s="135" t="n"/>
    </row>
    <row r="11" ht="21.75" customHeight="1" s="124">
      <c r="B11" s="179" t="inlineStr">
        <is>
          <t>TOTAL PEMASUKAN</t>
        </is>
      </c>
      <c r="C11" s="133" t="n"/>
      <c r="D11" s="193" t="inlineStr">
        <is>
          <t>TOTAL PENGELUARAN</t>
        </is>
      </c>
      <c r="E11" s="133" t="n"/>
      <c r="F11" s="180" t="inlineStr">
        <is>
          <t>NET CASHFLOW</t>
        </is>
      </c>
      <c r="G11" s="133" t="n"/>
      <c r="H11" s="133" t="n"/>
    </row>
    <row r="12" ht="31.5" customHeight="1" s="124">
      <c r="B12" s="194">
        <f>SUMPRODUCT(('Cashflow Timeline'!E7:E106="pemasukan")*'Cashflow Timeline'!G7:G106)</f>
        <v/>
      </c>
      <c r="C12" s="133" t="n"/>
      <c r="D12" s="195">
        <f>SUMPRODUCT(('Cashflow Timeline'!E7:E106="pengeluaran")*'Cashflow Timeline'!G7:G106)</f>
        <v/>
      </c>
      <c r="E12" s="133" t="n"/>
      <c r="F12" s="196">
        <f>B12-D12</f>
        <v/>
      </c>
      <c r="G12" s="133" t="n"/>
      <c r="H12" s="133" t="n"/>
    </row>
    <row r="14" ht="25.5" customHeight="1" s="124">
      <c r="B14" s="192" t="inlineStr">
        <is>
          <t>▎ RINGKASAN PER DOMPET</t>
        </is>
      </c>
      <c r="C14" s="135" t="n"/>
      <c r="D14" s="135" t="n"/>
      <c r="E14" s="135" t="n"/>
      <c r="F14" s="135" t="n"/>
      <c r="G14" s="135" t="n"/>
      <c r="H14" s="135" t="n"/>
    </row>
    <row r="16" ht="31.5" customHeight="1" s="124">
      <c r="B16" s="149" t="inlineStr">
        <is>
          <t>Dompet</t>
        </is>
      </c>
      <c r="C16" s="149" t="inlineStr">
        <is>
          <t>Sumber Anggaran</t>
        </is>
      </c>
      <c r="D16" s="149" t="inlineStr">
        <is>
          <t>Anggaran (Rp)</t>
        </is>
      </c>
      <c r="E16" s="149" t="inlineStr">
        <is>
          <t>Realisasi (Rp)</t>
        </is>
      </c>
      <c r="F16" s="149" t="inlineStr">
        <is>
          <t>Sisa (Rp)</t>
        </is>
      </c>
      <c r="G16" s="149" t="inlineStr">
        <is>
          <t>% Pakai</t>
        </is>
      </c>
      <c r="H16" s="149" t="inlineStr">
        <is>
          <t>Status</t>
        </is>
      </c>
    </row>
    <row r="17" ht="25.5" customHeight="1" s="124">
      <c r="B17" s="197" t="inlineStr">
        <is>
          <t>Utama</t>
        </is>
      </c>
      <c r="C17" s="198" t="inlineStr">
        <is>
          <t>Limit Lelang + Spare Bidding</t>
        </is>
      </c>
      <c r="D17" s="161">
        <f>'Dompet Utama'!E5</f>
        <v/>
      </c>
      <c r="E17" s="199">
        <f>'Dompet Utama'!E6</f>
        <v/>
      </c>
      <c r="F17" s="176">
        <f>D17-E17</f>
        <v/>
      </c>
      <c r="G17" s="200">
        <f>IFERROR(E17/D17,0)</f>
        <v/>
      </c>
      <c r="H17" s="201">
        <f>IF(D17=0,"-",IF(E17&gt;D17,"OVER BUDGET",IF(E17/D17&gt;=0.9,"WASPADA","AMAN")))</f>
        <v/>
      </c>
    </row>
    <row r="18" ht="25.5" customHeight="1" s="124">
      <c r="B18" s="202" t="inlineStr">
        <is>
          <t>Dokumen</t>
        </is>
      </c>
      <c r="C18" s="203" t="inlineStr">
        <is>
          <t>Biaya Balik Nama (Notaris, BPN, Pajak)</t>
        </is>
      </c>
      <c r="D18" s="163">
        <f>'Dompet Dokumen'!E5</f>
        <v/>
      </c>
      <c r="E18" s="204">
        <f>'Dompet Dokumen'!E6</f>
        <v/>
      </c>
      <c r="F18" s="178">
        <f>D18-E18</f>
        <v/>
      </c>
      <c r="G18" s="205">
        <f>IFERROR(E18/D18,0)</f>
        <v/>
      </c>
      <c r="H18" s="206">
        <f>IF(D18=0,"-",IF(E18&gt;D18,"OVER BUDGET",IF(E18/D18&gt;=0.9,"WASPADA","AMAN")))</f>
        <v/>
      </c>
    </row>
    <row r="19" ht="25.5" customHeight="1" s="124">
      <c r="B19" s="202" t="inlineStr">
        <is>
          <t>Eksekusi</t>
        </is>
      </c>
      <c r="C19" s="203" t="inlineStr">
        <is>
          <t>Biaya Eksekusi</t>
        </is>
      </c>
      <c r="D19" s="163">
        <f>'Dompet Eksekusi'!E5</f>
        <v/>
      </c>
      <c r="E19" s="204">
        <f>'Dompet Eksekusi'!E6</f>
        <v/>
      </c>
      <c r="F19" s="178">
        <f>D19-E19</f>
        <v/>
      </c>
      <c r="G19" s="205">
        <f>IFERROR(E19/D19,0)</f>
        <v/>
      </c>
      <c r="H19" s="206">
        <f>IF(D19=0,"-",IF(E19&gt;D19,"OVER BUDGET",IF(E19/D19&gt;=0.9,"WASPADA","AMAN")))</f>
        <v/>
      </c>
    </row>
    <row r="20" ht="25.5" customHeight="1" s="124">
      <c r="B20" s="207" t="inlineStr">
        <is>
          <t>Renovasi</t>
        </is>
      </c>
      <c r="C20" s="198" t="inlineStr">
        <is>
          <t>Renovasi &amp; Peningkatan Properti</t>
        </is>
      </c>
      <c r="D20" s="161">
        <f>'Dompet Renovasi'!E5</f>
        <v/>
      </c>
      <c r="E20" s="199">
        <f>'Dompet Renovasi'!E6</f>
        <v/>
      </c>
      <c r="F20" s="176">
        <f>D19-E19</f>
        <v/>
      </c>
      <c r="G20" s="200">
        <f>IFERROR(E19/D19,0)</f>
        <v/>
      </c>
      <c r="H20" s="201">
        <f>IF(D19=0,"-",IF(E19&gt;D19,"OVER BUDGET",IF(E19/D19&gt;=0.9,"WASPADA","AMAN")))</f>
        <v/>
      </c>
    </row>
    <row r="21" ht="30" customHeight="1" s="124">
      <c r="B21" s="208" t="inlineStr">
        <is>
          <t>Cadangan</t>
        </is>
      </c>
      <c r="C21" s="203" t="inlineStr">
        <is>
          <t>Dana Cadangan / Kontingensi</t>
        </is>
      </c>
      <c r="D21" s="163">
        <f>'Dompet Cadangan'!E5</f>
        <v/>
      </c>
      <c r="E21" s="204">
        <f>'Dompet Cadangan'!E6</f>
        <v/>
      </c>
      <c r="F21" s="178">
        <f>D21-E21</f>
        <v/>
      </c>
      <c r="G21" s="205">
        <f>IFERROR(E21/D21,0)</f>
        <v/>
      </c>
      <c r="H21" s="206">
        <f>IF(D21=0,"-",IF(E21&gt;D21,"OVER BUDGET",IF(E21/D21&gt;=0.9,"WASPADA","AMAN")))</f>
        <v/>
      </c>
    </row>
    <row r="22">
      <c r="B22" s="209" t="inlineStr">
        <is>
          <t>TOTAL</t>
        </is>
      </c>
      <c r="C22" s="149" t="inlineStr">
        <is>
          <t>Seluruh Dompet</t>
        </is>
      </c>
      <c r="D22" s="210">
        <f>SUM(D17:D21)</f>
        <v/>
      </c>
      <c r="E22" s="210">
        <f>SUM(E17:E21)</f>
        <v/>
      </c>
      <c r="F22" s="210">
        <f>D22-E22</f>
        <v/>
      </c>
      <c r="G22" s="211">
        <f>IFERROR(E22/D22,0)</f>
        <v/>
      </c>
      <c r="H22" s="209">
        <f>IF(D22=0,"-",IF(E22&gt;D22,"OVER BUDGET",IF(E22/D22&gt;=0.9,"WASPADA","AMAN")))</f>
        <v/>
      </c>
    </row>
    <row r="24" ht="25.5" customHeight="1" s="124"/>
    <row r="25">
      <c r="B25" s="192" t="inlineStr">
        <is>
          <t>▎ CATATAN MANAJEMEN</t>
        </is>
      </c>
      <c r="C25" s="135" t="n"/>
      <c r="D25" s="135" t="n"/>
      <c r="E25" s="135" t="n"/>
      <c r="F25" s="135" t="n"/>
      <c r="G25" s="135" t="n"/>
      <c r="H25" s="135" t="n"/>
    </row>
    <row r="26" ht="21.75" customHeight="1" s="124"/>
    <row r="27" ht="21.75" customHeight="1" s="124">
      <c r="B27" s="212">
        <f>CONCATENATE("• Total anggaran proyek sebesar ",TEXT(D21,"""Rp""#,##0")," dengan realisasi ",TEXT(E21,"""Rp""#,##0")," (",TEXT(G21,"0.0%")," dari plafon).")</f>
        <v/>
      </c>
    </row>
    <row r="28" ht="21.75" customHeight="1" s="124">
      <c r="B28" s="212">
        <f>CONCATENATE("• Sisa anggaran tersedia: ",TEXT(F21,"""Rp""#,##0"),".")</f>
        <v/>
      </c>
    </row>
    <row r="29" ht="21.75" customHeight="1" s="124">
      <c r="B29" s="212">
        <f>CONCATENATE("• Status keseluruhan: ",H21,".")</f>
        <v/>
      </c>
    </row>
    <row r="30" ht="21.75" customHeight="1" s="124">
      <c r="B30" s="212">
        <f>CONCATENATE("• Estimasi profit bersih: ",TEXT('Profil Proyek'!D11,"""Rp""#,##0")," (ROI: ",TEXT(IFERROR('Profil Proyek'!D11/'Profil Proyek'!D21,0),"0.0%"),").")</f>
        <v/>
      </c>
    </row>
    <row r="31">
      <c r="B31" s="213" t="inlineStr">
        <is>
          <t>• [Tambahkan catatan manual: penjelasan deviasi, mitigasi risiko, atau rencana tindak lanjut.]</t>
        </is>
      </c>
    </row>
    <row r="33" ht="19.5" customHeight="1" s="124"/>
    <row r="34" ht="49.5" customHeight="1" s="124">
      <c r="B34" s="214" t="inlineStr">
        <is>
          <t>Disusun oleh,</t>
        </is>
      </c>
      <c r="D34" s="214" t="inlineStr">
        <is>
          <t>Diperiksa oleh,</t>
        </is>
      </c>
      <c r="F34" s="214" t="inlineStr">
        <is>
          <t>Disetujui oleh,</t>
        </is>
      </c>
    </row>
    <row r="35" ht="15" customHeight="1" s="124"/>
    <row r="36" ht="15" customHeight="1" s="124">
      <c r="B36" s="215" t="inlineStr">
        <is>
          <t>(______________________)</t>
        </is>
      </c>
      <c r="D36" s="215" t="inlineStr">
        <is>
          <t>(______________________)</t>
        </is>
      </c>
      <c r="F36" s="215" t="inlineStr">
        <is>
          <t>(______________________)</t>
        </is>
      </c>
    </row>
    <row r="37">
      <c r="B37" s="216" t="inlineStr">
        <is>
          <t>Penyusun Laporan</t>
        </is>
      </c>
      <c r="D37" s="216" t="inlineStr">
        <is>
          <t>Manajer Keuangan</t>
        </is>
      </c>
      <c r="F37" s="216" t="inlineStr">
        <is>
          <t>Direktur Utama</t>
        </is>
      </c>
    </row>
  </sheetData>
  <mergeCells count="33">
    <mergeCell ref="F36:H36"/>
    <mergeCell ref="B9:H9"/>
    <mergeCell ref="B7:C7"/>
    <mergeCell ref="F33:H33"/>
    <mergeCell ref="F35:H35"/>
    <mergeCell ref="E5:F5"/>
    <mergeCell ref="B24:H24"/>
    <mergeCell ref="B30:H30"/>
    <mergeCell ref="D36:E36"/>
    <mergeCell ref="B12:C12"/>
    <mergeCell ref="B26:H26"/>
    <mergeCell ref="G7:H7"/>
    <mergeCell ref="B11:C11"/>
    <mergeCell ref="D11:E11"/>
    <mergeCell ref="G6:H6"/>
    <mergeCell ref="E6:F6"/>
    <mergeCell ref="B27:H27"/>
    <mergeCell ref="G5:H5"/>
    <mergeCell ref="B2:H2"/>
    <mergeCell ref="F11:H11"/>
    <mergeCell ref="D12:E12"/>
    <mergeCell ref="B6:C6"/>
    <mergeCell ref="B14:H14"/>
    <mergeCell ref="B28:H28"/>
    <mergeCell ref="B33:C33"/>
    <mergeCell ref="E7:F7"/>
    <mergeCell ref="D33:E33"/>
    <mergeCell ref="B5:C5"/>
    <mergeCell ref="B36:C36"/>
    <mergeCell ref="B29:H29"/>
    <mergeCell ref="F12:H12"/>
    <mergeCell ref="B35:C35"/>
    <mergeCell ref="D35:E35"/>
  </mergeCells>
  <conditionalFormatting sqref="H17:H21">
    <cfRule type="expression" rank="0" priority="2" equalAverage="0" aboveAverage="0" dxfId="0" text="" percent="0" bottom="0">
      <formula>$H17="OVER BUDGET"</formula>
    </cfRule>
    <cfRule type="expression" rank="0" priority="3" equalAverage="0" aboveAverage="0" dxfId="1" text="" percent="0" bottom="0">
      <formula>$H17="WASPADA"</formula>
    </cfRule>
    <cfRule type="expression" rank="0" priority="4" equalAverage="0" aboveAverage="0" dxfId="2" text="" percent="0" bottom="0">
      <formula>$H17="AMAN"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5597"/>
    <outlinePr summaryBelow="1" summaryRight="1"/>
    <pageSetUpPr fitToPage="1"/>
  </sheetPr>
  <dimension ref="B2:I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18" customWidth="1" style="123" min="2" max="2"/>
    <col width="22" customWidth="1" style="123" min="3" max="3"/>
    <col width="17" customWidth="1" style="123" min="4" max="6"/>
    <col width="13" customWidth="1" style="123" min="7" max="7"/>
    <col width="14" customWidth="1" style="123" min="8" max="8"/>
    <col width="22" customWidth="1" style="123" min="9" max="9"/>
  </cols>
  <sheetData>
    <row r="1" ht="7.5" customHeight="1" s="124"/>
    <row r="2" ht="30" customHeight="1" s="124">
      <c r="B2" s="147" t="inlineStr">
        <is>
          <t>ANGGARAN vs REALISASI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  <c r="H3" s="129" t="n"/>
      <c r="I3" s="129" t="n"/>
    </row>
    <row r="5" ht="31.5" customHeight="1" s="124">
      <c r="B5" s="149" t="inlineStr">
        <is>
          <t>Dompet</t>
        </is>
      </c>
      <c r="C5" s="149" t="inlineStr">
        <is>
          <t>Sumber Anggaran</t>
        </is>
      </c>
      <c r="D5" s="149" t="inlineStr">
        <is>
          <t>Anggaran (Rp)</t>
        </is>
      </c>
      <c r="E5" s="149" t="inlineStr">
        <is>
          <t>Realisasi (Rp)</t>
        </is>
      </c>
      <c r="F5" s="149" t="inlineStr">
        <is>
          <t>Varians (Rp)</t>
        </is>
      </c>
      <c r="G5" s="149" t="inlineStr">
        <is>
          <t>% Pakai</t>
        </is>
      </c>
      <c r="H5" s="149" t="inlineStr">
        <is>
          <t>Status</t>
        </is>
      </c>
      <c r="I5" s="149" t="inlineStr">
        <is>
          <t>Komentar</t>
        </is>
      </c>
    </row>
    <row r="6" ht="25.5" customHeight="1" s="124">
      <c r="B6" s="197" t="inlineStr">
        <is>
          <t>Utama</t>
        </is>
      </c>
      <c r="C6" s="198" t="inlineStr">
        <is>
          <t>Limit Lelang + Spare Bidding</t>
        </is>
      </c>
      <c r="D6" s="161">
        <f>'Dompet Utama'!E5</f>
        <v/>
      </c>
      <c r="E6" s="199">
        <f>'Dompet Utama'!E6</f>
        <v/>
      </c>
      <c r="F6" s="176">
        <f>D6-E6</f>
        <v/>
      </c>
      <c r="G6" s="200">
        <f>IFERROR(E6/D6,0)</f>
        <v/>
      </c>
      <c r="H6" s="201">
        <f>IF(D6=0,"-",IF(E6&gt;D6,"OVER BUDGET",IF(E6/D6&gt;=0.9,"WASPADA","AMAN")))</f>
        <v/>
      </c>
      <c r="I6" s="217" t="inlineStr">
        <is>
          <t>[Isi catatan]</t>
        </is>
      </c>
    </row>
    <row r="7" ht="25.5" customHeight="1" s="124">
      <c r="B7" s="202" t="inlineStr">
        <is>
          <t>Dokumen</t>
        </is>
      </c>
      <c r="C7" s="203" t="inlineStr">
        <is>
          <t>Biaya Balik Nama (Notaris, BPN, Pajak)</t>
        </is>
      </c>
      <c r="D7" s="163">
        <f>'Dompet Dokumen'!E5</f>
        <v/>
      </c>
      <c r="E7" s="204">
        <f>'Dompet Dokumen'!E6</f>
        <v/>
      </c>
      <c r="F7" s="178">
        <f>D7-E7</f>
        <v/>
      </c>
      <c r="G7" s="205">
        <f>IFERROR(E7/D7,0)</f>
        <v/>
      </c>
      <c r="H7" s="206">
        <f>IF(D7=0,"-",IF(E7&gt;D7,"OVER BUDGET",IF(E7/D7&gt;=0.9,"WASPADA","AMAN")))</f>
        <v/>
      </c>
      <c r="I7" s="218" t="inlineStr">
        <is>
          <t>[Isi catatan]</t>
        </is>
      </c>
    </row>
    <row r="8" ht="25.5" customHeight="1" s="124">
      <c r="B8" s="202" t="inlineStr">
        <is>
          <t>Eksekusi</t>
        </is>
      </c>
      <c r="C8" s="203" t="inlineStr">
        <is>
          <t>Biaya Eksekusi</t>
        </is>
      </c>
      <c r="D8" s="163">
        <f>'Dompet Eksekusi'!E5</f>
        <v/>
      </c>
      <c r="E8" s="204">
        <f>'Dompet Eksekusi'!E6</f>
        <v/>
      </c>
      <c r="F8" s="178">
        <f>D8-E8</f>
        <v/>
      </c>
      <c r="G8" s="205">
        <f>IFERROR(E8/D8,0)</f>
        <v/>
      </c>
      <c r="H8" s="206">
        <f>IF(D8=0,"-",IF(E8&gt;D8,"OVER BUDGET",IF(E8/D8&gt;=0.9,"WASPADA","AMAN")))</f>
        <v/>
      </c>
      <c r="I8" s="218" t="inlineStr">
        <is>
          <t>[Isi catatan]</t>
        </is>
      </c>
    </row>
    <row r="9" ht="25.5" customHeight="1" s="124">
      <c r="B9" s="207" t="inlineStr">
        <is>
          <t>Renovasi</t>
        </is>
      </c>
      <c r="C9" s="198" t="inlineStr">
        <is>
          <t>Renovasi &amp; Peningkatan Properti</t>
        </is>
      </c>
      <c r="D9" s="161">
        <f>'Dompet Renovasi'!E5</f>
        <v/>
      </c>
      <c r="E9" s="199">
        <f>'Dompet Renovasi'!E6</f>
        <v/>
      </c>
      <c r="F9" s="176">
        <f>D8-E8</f>
        <v/>
      </c>
      <c r="G9" s="200">
        <f>IFERROR(E8/D8,0)</f>
        <v/>
      </c>
      <c r="H9" s="201">
        <f>IF(D8=0,"-",IF(E8&gt;D8,"OVER BUDGET",IF(E8/D8&gt;=0.9,"WASPADA","AMAN")))</f>
        <v/>
      </c>
      <c r="I9" s="217" t="inlineStr">
        <is>
          <t>[Isi catatan]</t>
        </is>
      </c>
    </row>
    <row r="10" ht="31.5" customHeight="1" s="124">
      <c r="B10" s="208" t="inlineStr">
        <is>
          <t>Cadangan</t>
        </is>
      </c>
      <c r="C10" s="203" t="inlineStr">
        <is>
          <t>Dana Cadangan / Kontingensi</t>
        </is>
      </c>
      <c r="D10" s="163">
        <f>'Dompet Cadangan'!E5</f>
        <v/>
      </c>
      <c r="E10" s="204">
        <f>'Dompet Cadangan'!E6</f>
        <v/>
      </c>
      <c r="F10" s="178">
        <f>D9-E9</f>
        <v/>
      </c>
      <c r="G10" s="205">
        <f>IFERROR(E9/D9,0)</f>
        <v/>
      </c>
      <c r="H10" s="206">
        <f>IF(D9=0,"-",IF(E9&gt;D9,"OVER BUDGET",IF(E9/D9&gt;=0.9,"WASPADA","AMAN")))</f>
        <v/>
      </c>
      <c r="I10" s="218" t="inlineStr">
        <is>
          <t>[Isi catatan]</t>
        </is>
      </c>
    </row>
    <row r="11">
      <c r="B11" s="219" t="inlineStr">
        <is>
          <t>TOTAL</t>
        </is>
      </c>
      <c r="C11" s="149" t="inlineStr">
        <is>
          <t>Seluruh Dompet</t>
        </is>
      </c>
      <c r="D11" s="220">
        <f>SUM(D6:D10)</f>
        <v/>
      </c>
      <c r="E11" s="220">
        <f>SUM(E6:E10)</f>
        <v/>
      </c>
      <c r="F11" s="220">
        <f>D10-E10</f>
        <v/>
      </c>
      <c r="G11" s="221">
        <f>IFERROR(E10/D10,0)</f>
        <v/>
      </c>
      <c r="H11" s="219">
        <f>IF(D10=0,"-",IF(E10&gt;D10,"OVER BUDGET",IF(E10/D10&gt;=0.9,"WASPADA","AMAN")))</f>
        <v/>
      </c>
      <c r="I11" s="219" t="inlineStr">
        <is>
          <t>—</t>
        </is>
      </c>
    </row>
    <row r="13" ht="25.5" customHeight="1" s="124"/>
    <row r="14">
      <c r="B14" s="148" t="inlineStr">
        <is>
          <t>▎ VISUALISASI</t>
        </is>
      </c>
      <c r="C14" s="135" t="n"/>
      <c r="D14" s="135" t="n"/>
      <c r="E14" s="135" t="n"/>
      <c r="F14" s="135" t="n"/>
      <c r="G14" s="135" t="n"/>
      <c r="H14" s="135" t="n"/>
      <c r="I14" s="135" t="n"/>
    </row>
  </sheetData>
  <mergeCells count="2">
    <mergeCell ref="B13:I13"/>
    <mergeCell ref="B2:I2"/>
  </mergeCells>
  <conditionalFormatting sqref="H6:H10">
    <cfRule type="expression" rank="0" priority="2" equalAverage="0" aboveAverage="0" dxfId="0" text="" percent="0" bottom="0">
      <formula>$H6="OVER BUDGET"</formula>
    </cfRule>
    <cfRule type="expression" rank="0" priority="3" equalAverage="0" aboveAverage="0" dxfId="1" text="" percent="0" bottom="0">
      <formula>$H6="WASPADA"</formula>
    </cfRule>
    <cfRule type="expression" rank="0" priority="4" equalAverage="0" aboveAverage="0" dxfId="2" text="" percent="0" bottom="0">
      <formula>$H6="AMAN"</formula>
    </cfRule>
  </conditionalFormatting>
  <conditionalFormatting sqref="F6:F10">
    <cfRule type="cellIs" rank="0" priority="5" equalAverage="0" operator="lessThan" aboveAverage="0" dxfId="3" text="" percent="0" bottom="0">
      <formula>0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0F1F3D"/>
    <outlinePr summaryBelow="1" summaryRight="1"/>
    <pageSetUpPr fitToPage="1"/>
  </sheetPr>
  <dimension ref="B2:L1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5" customWidth="1" style="123" min="2" max="2"/>
    <col width="13" customWidth="1" style="123" min="3" max="3"/>
    <col width="11" customWidth="1" style="123" min="4" max="4"/>
    <col width="12" customWidth="1" style="123" min="5" max="5"/>
    <col width="18" customWidth="1" style="123" min="6" max="6"/>
    <col width="16" customWidth="1" style="123" min="7" max="7"/>
    <col width="12" customWidth="1" style="123" min="8" max="8"/>
    <col width="30" customWidth="1" style="123" min="9" max="9"/>
    <col width="12" customWidth="1" style="123" min="10" max="10"/>
    <col width="22" customWidth="1" style="123" min="11" max="11"/>
    <col width="18" customWidth="1" style="123" min="12" max="12"/>
    <col width="2" customWidth="1" style="123" min="13" max="13"/>
  </cols>
  <sheetData>
    <row r="1" ht="7.5" customHeight="1" s="124"/>
    <row r="2" ht="30" customHeight="1" s="124">
      <c r="B2" s="222" t="inlineStr">
        <is>
          <t>CASHFLOW TIMELINE — SEMUA DOMPET KRONOLOGIS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</row>
    <row r="4" ht="21.75" customHeight="1" s="124">
      <c r="B4" s="145" t="inlineStr">
        <is>
          <t>Sumber: project_arus_kas (semua wallet, urut tanggal_transaksi ASC)</t>
        </is>
      </c>
    </row>
    <row r="6" ht="36" customHeight="1" s="124">
      <c r="B6" s="149" t="inlineStr">
        <is>
          <t>No.</t>
        </is>
      </c>
      <c r="C6" s="149" t="inlineStr">
        <is>
          <t>Tanggal</t>
        </is>
      </c>
      <c r="D6" s="149" t="inlineStr">
        <is>
          <t>ID Project</t>
        </is>
      </c>
      <c r="E6" s="149" t="inlineStr">
        <is>
          <t>Jenis</t>
        </is>
      </c>
      <c r="F6" s="149" t="inlineStr">
        <is>
          <t>Kategori</t>
        </is>
      </c>
      <c r="G6" s="149" t="inlineStr">
        <is>
          <t>Nominal (Rp)</t>
        </is>
      </c>
      <c r="H6" s="149" t="inlineStr">
        <is>
          <t>Wallet</t>
        </is>
      </c>
      <c r="I6" s="149" t="inlineStr">
        <is>
          <t>Judul Transaksi</t>
        </is>
      </c>
      <c r="J6" s="149" t="inlineStr">
        <is>
          <t>Status</t>
        </is>
      </c>
      <c r="K6" s="149" t="inlineStr">
        <is>
          <t>Catatan</t>
        </is>
      </c>
      <c r="L6" s="149" t="inlineStr">
        <is>
          <t>Saldo Berjalan</t>
        </is>
      </c>
    </row>
    <row r="7" ht="21.75" customHeight="1" s="124">
      <c r="B7" s="171">
        <f>IF(C7="","",ROW()-6)</f>
        <v/>
      </c>
      <c r="C7" s="223" t="n"/>
      <c r="D7" s="224" t="n"/>
      <c r="E7" s="224" t="n"/>
      <c r="F7" s="225" t="n"/>
      <c r="G7" s="161" t="n"/>
      <c r="H7" s="226" t="n"/>
      <c r="I7" s="225" t="n"/>
      <c r="J7" s="224" t="n"/>
      <c r="K7" s="225" t="n"/>
      <c r="L7" s="176">
        <f>IF(G7="","",IF(E7="pemasukan",G7,-G7))</f>
        <v/>
      </c>
    </row>
    <row r="8" ht="21.75" customHeight="1" s="124">
      <c r="B8" s="227">
        <f>IF(C8="","",ROW()-6)</f>
        <v/>
      </c>
      <c r="C8" s="228" t="n"/>
      <c r="D8" s="229" t="n"/>
      <c r="E8" s="229" t="n"/>
      <c r="F8" s="230" t="n"/>
      <c r="G8" s="163" t="n"/>
      <c r="H8" s="231" t="n"/>
      <c r="I8" s="230" t="n"/>
      <c r="J8" s="229" t="n"/>
      <c r="K8" s="230" t="n"/>
      <c r="L8" s="178">
        <f>IF(G8="","",L7+IF(E8="pemasukan",G8,-G8))</f>
        <v/>
      </c>
    </row>
    <row r="9" ht="21.75" customHeight="1" s="124">
      <c r="B9" s="171">
        <f>IF(C9="","",ROW()-6)</f>
        <v/>
      </c>
      <c r="C9" s="223" t="n"/>
      <c r="D9" s="224" t="n"/>
      <c r="E9" s="224" t="n"/>
      <c r="F9" s="225" t="n"/>
      <c r="G9" s="161" t="n"/>
      <c r="H9" s="226" t="n"/>
      <c r="I9" s="225" t="n"/>
      <c r="J9" s="224" t="n"/>
      <c r="K9" s="225" t="n"/>
      <c r="L9" s="176">
        <f>IF(G9="","",L8+IF(E9="pemasukan",G9,-G9))</f>
        <v/>
      </c>
    </row>
    <row r="10" ht="21.75" customHeight="1" s="124">
      <c r="B10" s="227">
        <f>IF(C10="","",ROW()-6)</f>
        <v/>
      </c>
      <c r="C10" s="228" t="n"/>
      <c r="D10" s="229" t="n"/>
      <c r="E10" s="229" t="n"/>
      <c r="F10" s="230" t="n"/>
      <c r="G10" s="163" t="n"/>
      <c r="H10" s="231" t="n"/>
      <c r="I10" s="230" t="n"/>
      <c r="J10" s="229" t="n"/>
      <c r="K10" s="230" t="n"/>
      <c r="L10" s="178">
        <f>IF(G10="","",L9+IF(E10="pemasukan",G10,-G10))</f>
        <v/>
      </c>
    </row>
    <row r="11" ht="21.75" customHeight="1" s="124">
      <c r="B11" s="171">
        <f>IF(C11="","",ROW()-6)</f>
        <v/>
      </c>
      <c r="C11" s="223" t="n"/>
      <c r="D11" s="224" t="n"/>
      <c r="E11" s="224" t="n"/>
      <c r="F11" s="225" t="n"/>
      <c r="G11" s="161" t="n"/>
      <c r="H11" s="226" t="n"/>
      <c r="I11" s="225" t="n"/>
      <c r="J11" s="224" t="n"/>
      <c r="K11" s="225" t="n"/>
      <c r="L11" s="176">
        <f>IF(G11="","",L10+IF(E11="pemasukan",G11,-G11))</f>
        <v/>
      </c>
    </row>
    <row r="12" ht="21.75" customHeight="1" s="124">
      <c r="B12" s="227">
        <f>IF(C12="","",ROW()-6)</f>
        <v/>
      </c>
      <c r="C12" s="228" t="n"/>
      <c r="D12" s="229" t="n"/>
      <c r="E12" s="229" t="n"/>
      <c r="F12" s="230" t="n"/>
      <c r="G12" s="163" t="n"/>
      <c r="H12" s="231" t="n"/>
      <c r="I12" s="230" t="n"/>
      <c r="J12" s="229" t="n"/>
      <c r="K12" s="230" t="n"/>
      <c r="L12" s="178">
        <f>IF(G12="","",L11+IF(E12="pemasukan",G12,-G12))</f>
        <v/>
      </c>
    </row>
    <row r="13" ht="21.75" customHeight="1" s="124">
      <c r="B13" s="171">
        <f>IF(C13="","",ROW()-6)</f>
        <v/>
      </c>
      <c r="C13" s="223" t="n"/>
      <c r="D13" s="224" t="n"/>
      <c r="E13" s="224" t="n"/>
      <c r="F13" s="225" t="n"/>
      <c r="G13" s="161" t="n"/>
      <c r="H13" s="226" t="n"/>
      <c r="I13" s="225" t="n"/>
      <c r="J13" s="224" t="n"/>
      <c r="K13" s="225" t="n"/>
      <c r="L13" s="176">
        <f>IF(G13="","",L12+IF(E13="pemasukan",G13,-G13))</f>
        <v/>
      </c>
    </row>
    <row r="14" ht="21.75" customHeight="1" s="124">
      <c r="B14" s="227">
        <f>IF(C14="","",ROW()-6)</f>
        <v/>
      </c>
      <c r="C14" s="228" t="n"/>
      <c r="D14" s="229" t="n"/>
      <c r="E14" s="229" t="n"/>
      <c r="F14" s="230" t="n"/>
      <c r="G14" s="163" t="n"/>
      <c r="H14" s="231" t="n"/>
      <c r="I14" s="230" t="n"/>
      <c r="J14" s="229" t="n"/>
      <c r="K14" s="230" t="n"/>
      <c r="L14" s="178">
        <f>IF(G14="","",L13+IF(E14="pemasukan",G14,-G14))</f>
        <v/>
      </c>
    </row>
    <row r="15" ht="21.75" customHeight="1" s="124">
      <c r="B15" s="171">
        <f>IF(C15="","",ROW()-6)</f>
        <v/>
      </c>
      <c r="C15" s="223" t="n"/>
      <c r="D15" s="224" t="n"/>
      <c r="E15" s="224" t="n"/>
      <c r="F15" s="225" t="n"/>
      <c r="G15" s="161" t="n"/>
      <c r="H15" s="226" t="n"/>
      <c r="I15" s="225" t="n"/>
      <c r="J15" s="224" t="n"/>
      <c r="K15" s="225" t="n"/>
      <c r="L15" s="176">
        <f>IF(G15="","",L14+IF(E15="pemasukan",G15,-G15))</f>
        <v/>
      </c>
    </row>
    <row r="16" ht="21.75" customHeight="1" s="124">
      <c r="B16" s="227">
        <f>IF(C16="","",ROW()-6)</f>
        <v/>
      </c>
      <c r="C16" s="228" t="n"/>
      <c r="D16" s="229" t="n"/>
      <c r="E16" s="229" t="n"/>
      <c r="F16" s="230" t="n"/>
      <c r="G16" s="163" t="n"/>
      <c r="H16" s="231" t="n"/>
      <c r="I16" s="230" t="n"/>
      <c r="J16" s="229" t="n"/>
      <c r="K16" s="230" t="n"/>
      <c r="L16" s="178">
        <f>IF(G16="","",L15+IF(E16="pemasukan",G16,-G16))</f>
        <v/>
      </c>
    </row>
    <row r="17" ht="21.75" customHeight="1" s="124">
      <c r="B17" s="171">
        <f>IF(C17="","",ROW()-6)</f>
        <v/>
      </c>
      <c r="C17" s="223" t="n"/>
      <c r="D17" s="224" t="n"/>
      <c r="E17" s="224" t="n"/>
      <c r="F17" s="225" t="n"/>
      <c r="G17" s="161" t="n"/>
      <c r="H17" s="226" t="n"/>
      <c r="I17" s="225" t="n"/>
      <c r="J17" s="224" t="n"/>
      <c r="K17" s="225" t="n"/>
      <c r="L17" s="176">
        <f>IF(G17="","",L16+IF(E17="pemasukan",G17,-G17))</f>
        <v/>
      </c>
    </row>
    <row r="18" ht="21.75" customHeight="1" s="124">
      <c r="B18" s="227">
        <f>IF(C18="","",ROW()-6)</f>
        <v/>
      </c>
      <c r="C18" s="228" t="n"/>
      <c r="D18" s="229" t="n"/>
      <c r="E18" s="229" t="n"/>
      <c r="F18" s="230" t="n"/>
      <c r="G18" s="163" t="n"/>
      <c r="H18" s="231" t="n"/>
      <c r="I18" s="230" t="n"/>
      <c r="J18" s="229" t="n"/>
      <c r="K18" s="230" t="n"/>
      <c r="L18" s="178">
        <f>IF(G18="","",L17+IF(E18="pemasukan",G18,-G18))</f>
        <v/>
      </c>
    </row>
    <row r="19" ht="21.75" customHeight="1" s="124">
      <c r="B19" s="171">
        <f>IF(C19="","",ROW()-6)</f>
        <v/>
      </c>
      <c r="C19" s="223" t="n"/>
      <c r="D19" s="224" t="n"/>
      <c r="E19" s="224" t="n"/>
      <c r="F19" s="225" t="n"/>
      <c r="G19" s="161" t="n"/>
      <c r="H19" s="226" t="n"/>
      <c r="I19" s="225" t="n"/>
      <c r="J19" s="224" t="n"/>
      <c r="K19" s="225" t="n"/>
      <c r="L19" s="176">
        <f>IF(G19="","",L18+IF(E19="pemasukan",G19,-G19))</f>
        <v/>
      </c>
    </row>
    <row r="20" ht="21.75" customHeight="1" s="124">
      <c r="B20" s="227">
        <f>IF(C20="","",ROW()-6)</f>
        <v/>
      </c>
      <c r="C20" s="228" t="n"/>
      <c r="D20" s="229" t="n"/>
      <c r="E20" s="229" t="n"/>
      <c r="F20" s="230" t="n"/>
      <c r="G20" s="163" t="n"/>
      <c r="H20" s="231" t="n"/>
      <c r="I20" s="230" t="n"/>
      <c r="J20" s="229" t="n"/>
      <c r="K20" s="230" t="n"/>
      <c r="L20" s="178">
        <f>IF(G20="","",L19+IF(E20="pemasukan",G20,-G20))</f>
        <v/>
      </c>
    </row>
    <row r="21" ht="21.75" customHeight="1" s="124">
      <c r="B21" s="171">
        <f>IF(C21="","",ROW()-6)</f>
        <v/>
      </c>
      <c r="C21" s="223" t="n"/>
      <c r="D21" s="224" t="n"/>
      <c r="E21" s="224" t="n"/>
      <c r="F21" s="225" t="n"/>
      <c r="G21" s="161" t="n"/>
      <c r="H21" s="226" t="n"/>
      <c r="I21" s="225" t="n"/>
      <c r="J21" s="224" t="n"/>
      <c r="K21" s="225" t="n"/>
      <c r="L21" s="176">
        <f>IF(G21="","",L20+IF(E21="pemasukan",G21,-G21))</f>
        <v/>
      </c>
    </row>
    <row r="22" ht="21.75" customHeight="1" s="124">
      <c r="B22" s="227">
        <f>IF(C22="","",ROW()-6)</f>
        <v/>
      </c>
      <c r="C22" s="228" t="n"/>
      <c r="D22" s="229" t="n"/>
      <c r="E22" s="229" t="n"/>
      <c r="F22" s="230" t="n"/>
      <c r="G22" s="163" t="n"/>
      <c r="H22" s="231" t="n"/>
      <c r="I22" s="230" t="n"/>
      <c r="J22" s="229" t="n"/>
      <c r="K22" s="230" t="n"/>
      <c r="L22" s="178">
        <f>IF(G22="","",L21+IF(E22="pemasukan",G22,-G22))</f>
        <v/>
      </c>
    </row>
    <row r="23" ht="21.75" customHeight="1" s="124">
      <c r="B23" s="171">
        <f>IF(C23="","",ROW()-6)</f>
        <v/>
      </c>
      <c r="C23" s="223" t="n"/>
      <c r="D23" s="224" t="n"/>
      <c r="E23" s="224" t="n"/>
      <c r="F23" s="225" t="n"/>
      <c r="G23" s="161" t="n"/>
      <c r="H23" s="226" t="n"/>
      <c r="I23" s="225" t="n"/>
      <c r="J23" s="224" t="n"/>
      <c r="K23" s="225" t="n"/>
      <c r="L23" s="176">
        <f>IF(G23="","",L22+IF(E23="pemasukan",G23,-G23))</f>
        <v/>
      </c>
    </row>
    <row r="24" ht="21.75" customHeight="1" s="124">
      <c r="B24" s="227">
        <f>IF(C24="","",ROW()-6)</f>
        <v/>
      </c>
      <c r="C24" s="228" t="n"/>
      <c r="D24" s="229" t="n"/>
      <c r="E24" s="229" t="n"/>
      <c r="F24" s="230" t="n"/>
      <c r="G24" s="163" t="n"/>
      <c r="H24" s="231" t="n"/>
      <c r="I24" s="230" t="n"/>
      <c r="J24" s="229" t="n"/>
      <c r="K24" s="230" t="n"/>
      <c r="L24" s="178">
        <f>IF(G24="","",L23+IF(E24="pemasukan",G24,-G24))</f>
        <v/>
      </c>
    </row>
    <row r="25" ht="21.75" customHeight="1" s="124">
      <c r="B25" s="171">
        <f>IF(C25="","",ROW()-6)</f>
        <v/>
      </c>
      <c r="C25" s="223" t="n"/>
      <c r="D25" s="224" t="n"/>
      <c r="E25" s="224" t="n"/>
      <c r="F25" s="225" t="n"/>
      <c r="G25" s="161" t="n"/>
      <c r="H25" s="226" t="n"/>
      <c r="I25" s="225" t="n"/>
      <c r="J25" s="224" t="n"/>
      <c r="K25" s="225" t="n"/>
      <c r="L25" s="176">
        <f>IF(G25="","",L24+IF(E25="pemasukan",G25,-G25))</f>
        <v/>
      </c>
    </row>
    <row r="26" ht="21.75" customHeight="1" s="124">
      <c r="B26" s="227">
        <f>IF(C26="","",ROW()-6)</f>
        <v/>
      </c>
      <c r="C26" s="228" t="n"/>
      <c r="D26" s="229" t="n"/>
      <c r="E26" s="229" t="n"/>
      <c r="F26" s="230" t="n"/>
      <c r="G26" s="163" t="n"/>
      <c r="H26" s="231" t="n"/>
      <c r="I26" s="230" t="n"/>
      <c r="J26" s="229" t="n"/>
      <c r="K26" s="230" t="n"/>
      <c r="L26" s="178">
        <f>IF(G26="","",L25+IF(E26="pemasukan",G26,-G26))</f>
        <v/>
      </c>
    </row>
    <row r="27" ht="21.75" customHeight="1" s="124">
      <c r="B27" s="171">
        <f>IF(C27="","",ROW()-6)</f>
        <v/>
      </c>
      <c r="C27" s="223" t="n"/>
      <c r="D27" s="224" t="n"/>
      <c r="E27" s="224" t="n"/>
      <c r="F27" s="225" t="n"/>
      <c r="G27" s="161" t="n"/>
      <c r="H27" s="226" t="n"/>
      <c r="I27" s="225" t="n"/>
      <c r="J27" s="224" t="n"/>
      <c r="K27" s="225" t="n"/>
      <c r="L27" s="176">
        <f>IF(G27="","",L26+IF(E27="pemasukan",G27,-G27))</f>
        <v/>
      </c>
    </row>
    <row r="28" ht="21.75" customHeight="1" s="124">
      <c r="B28" s="227">
        <f>IF(C28="","",ROW()-6)</f>
        <v/>
      </c>
      <c r="C28" s="228" t="n"/>
      <c r="D28" s="229" t="n"/>
      <c r="E28" s="229" t="n"/>
      <c r="F28" s="230" t="n"/>
      <c r="G28" s="163" t="n"/>
      <c r="H28" s="231" t="n"/>
      <c r="I28" s="230" t="n"/>
      <c r="J28" s="229" t="n"/>
      <c r="K28" s="230" t="n"/>
      <c r="L28" s="178">
        <f>IF(G28="","",L27+IF(E28="pemasukan",G28,-G28))</f>
        <v/>
      </c>
    </row>
    <row r="29" ht="21.75" customHeight="1" s="124">
      <c r="B29" s="171">
        <f>IF(C29="","",ROW()-6)</f>
        <v/>
      </c>
      <c r="C29" s="223" t="n"/>
      <c r="D29" s="224" t="n"/>
      <c r="E29" s="224" t="n"/>
      <c r="F29" s="225" t="n"/>
      <c r="G29" s="161" t="n"/>
      <c r="H29" s="226" t="n"/>
      <c r="I29" s="225" t="n"/>
      <c r="J29" s="224" t="n"/>
      <c r="K29" s="225" t="n"/>
      <c r="L29" s="176">
        <f>IF(G29="","",L28+IF(E29="pemasukan",G29,-G29))</f>
        <v/>
      </c>
    </row>
    <row r="30" ht="21.75" customHeight="1" s="124">
      <c r="B30" s="227">
        <f>IF(C30="","",ROW()-6)</f>
        <v/>
      </c>
      <c r="C30" s="228" t="n"/>
      <c r="D30" s="229" t="n"/>
      <c r="E30" s="229" t="n"/>
      <c r="F30" s="230" t="n"/>
      <c r="G30" s="163" t="n"/>
      <c r="H30" s="231" t="n"/>
      <c r="I30" s="230" t="n"/>
      <c r="J30" s="229" t="n"/>
      <c r="K30" s="230" t="n"/>
      <c r="L30" s="178">
        <f>IF(G30="","",L29+IF(E30="pemasukan",G30,-G30))</f>
        <v/>
      </c>
    </row>
    <row r="31" ht="21.75" customHeight="1" s="124">
      <c r="B31" s="171">
        <f>IF(C31="","",ROW()-6)</f>
        <v/>
      </c>
      <c r="C31" s="223" t="n"/>
      <c r="D31" s="224" t="n"/>
      <c r="E31" s="224" t="n"/>
      <c r="F31" s="225" t="n"/>
      <c r="G31" s="161" t="n"/>
      <c r="H31" s="226" t="n"/>
      <c r="I31" s="225" t="n"/>
      <c r="J31" s="224" t="n"/>
      <c r="K31" s="225" t="n"/>
      <c r="L31" s="176">
        <f>IF(G31="","",L30+IF(E31="pemasukan",G31,-G31))</f>
        <v/>
      </c>
    </row>
    <row r="32" ht="21.75" customHeight="1" s="124">
      <c r="B32" s="227">
        <f>IF(C32="","",ROW()-6)</f>
        <v/>
      </c>
      <c r="C32" s="228" t="n"/>
      <c r="D32" s="229" t="n"/>
      <c r="E32" s="229" t="n"/>
      <c r="F32" s="230" t="n"/>
      <c r="G32" s="163" t="n"/>
      <c r="H32" s="231" t="n"/>
      <c r="I32" s="230" t="n"/>
      <c r="J32" s="229" t="n"/>
      <c r="K32" s="230" t="n"/>
      <c r="L32" s="178">
        <f>IF(G32="","",L31+IF(E32="pemasukan",G32,-G32))</f>
        <v/>
      </c>
    </row>
    <row r="33" ht="21.75" customHeight="1" s="124">
      <c r="B33" s="171">
        <f>IF(C33="","",ROW()-6)</f>
        <v/>
      </c>
      <c r="C33" s="223" t="n"/>
      <c r="D33" s="224" t="n"/>
      <c r="E33" s="224" t="n"/>
      <c r="F33" s="225" t="n"/>
      <c r="G33" s="161" t="n"/>
      <c r="H33" s="226" t="n"/>
      <c r="I33" s="225" t="n"/>
      <c r="J33" s="224" t="n"/>
      <c r="K33" s="225" t="n"/>
      <c r="L33" s="176">
        <f>IF(G33="","",L32+IF(E33="pemasukan",G33,-G33))</f>
        <v/>
      </c>
    </row>
    <row r="34" ht="21.75" customHeight="1" s="124">
      <c r="B34" s="227">
        <f>IF(C34="","",ROW()-6)</f>
        <v/>
      </c>
      <c r="C34" s="228" t="n"/>
      <c r="D34" s="229" t="n"/>
      <c r="E34" s="229" t="n"/>
      <c r="F34" s="230" t="n"/>
      <c r="G34" s="163" t="n"/>
      <c r="H34" s="231" t="n"/>
      <c r="I34" s="230" t="n"/>
      <c r="J34" s="229" t="n"/>
      <c r="K34" s="230" t="n"/>
      <c r="L34" s="178">
        <f>IF(G34="","",L33+IF(E34="pemasukan",G34,-G34))</f>
        <v/>
      </c>
    </row>
    <row r="35" ht="21.75" customHeight="1" s="124">
      <c r="B35" s="171">
        <f>IF(C35="","",ROW()-6)</f>
        <v/>
      </c>
      <c r="C35" s="223" t="n"/>
      <c r="D35" s="224" t="n"/>
      <c r="E35" s="224" t="n"/>
      <c r="F35" s="225" t="n"/>
      <c r="G35" s="161" t="n"/>
      <c r="H35" s="226" t="n"/>
      <c r="I35" s="225" t="n"/>
      <c r="J35" s="224" t="n"/>
      <c r="K35" s="225" t="n"/>
      <c r="L35" s="176">
        <f>IF(G35="","",L34+IF(E35="pemasukan",G35,-G35))</f>
        <v/>
      </c>
    </row>
    <row r="36" ht="21.75" customHeight="1" s="124">
      <c r="B36" s="227">
        <f>IF(C36="","",ROW()-6)</f>
        <v/>
      </c>
      <c r="C36" s="228" t="n"/>
      <c r="D36" s="229" t="n"/>
      <c r="E36" s="229" t="n"/>
      <c r="F36" s="230" t="n"/>
      <c r="G36" s="163" t="n"/>
      <c r="H36" s="231" t="n"/>
      <c r="I36" s="230" t="n"/>
      <c r="J36" s="229" t="n"/>
      <c r="K36" s="230" t="n"/>
      <c r="L36" s="178">
        <f>IF(G36="","",L35+IF(E36="pemasukan",G36,-G36))</f>
        <v/>
      </c>
    </row>
    <row r="37" ht="21.75" customHeight="1" s="124">
      <c r="B37" s="171">
        <f>IF(C37="","",ROW()-6)</f>
        <v/>
      </c>
      <c r="C37" s="223" t="n"/>
      <c r="D37" s="224" t="n"/>
      <c r="E37" s="224" t="n"/>
      <c r="F37" s="225" t="n"/>
      <c r="G37" s="161" t="n"/>
      <c r="H37" s="226" t="n"/>
      <c r="I37" s="225" t="n"/>
      <c r="J37" s="224" t="n"/>
      <c r="K37" s="225" t="n"/>
      <c r="L37" s="176">
        <f>IF(G37="","",L36+IF(E37="pemasukan",G37,-G37))</f>
        <v/>
      </c>
    </row>
    <row r="38" ht="21.75" customHeight="1" s="124">
      <c r="B38" s="227">
        <f>IF(C38="","",ROW()-6)</f>
        <v/>
      </c>
      <c r="C38" s="228" t="n"/>
      <c r="D38" s="229" t="n"/>
      <c r="E38" s="229" t="n"/>
      <c r="F38" s="230" t="n"/>
      <c r="G38" s="163" t="n"/>
      <c r="H38" s="231" t="n"/>
      <c r="I38" s="230" t="n"/>
      <c r="J38" s="229" t="n"/>
      <c r="K38" s="230" t="n"/>
      <c r="L38" s="178">
        <f>IF(G38="","",L37+IF(E38="pemasukan",G38,-G38))</f>
        <v/>
      </c>
    </row>
    <row r="39" ht="21.75" customHeight="1" s="124">
      <c r="B39" s="171">
        <f>IF(C39="","",ROW()-6)</f>
        <v/>
      </c>
      <c r="C39" s="223" t="n"/>
      <c r="D39" s="224" t="n"/>
      <c r="E39" s="224" t="n"/>
      <c r="F39" s="225" t="n"/>
      <c r="G39" s="161" t="n"/>
      <c r="H39" s="226" t="n"/>
      <c r="I39" s="225" t="n"/>
      <c r="J39" s="224" t="n"/>
      <c r="K39" s="225" t="n"/>
      <c r="L39" s="176">
        <f>IF(G39="","",L38+IF(E39="pemasukan",G39,-G39))</f>
        <v/>
      </c>
    </row>
    <row r="40" ht="21.75" customHeight="1" s="124">
      <c r="B40" s="227">
        <f>IF(C40="","",ROW()-6)</f>
        <v/>
      </c>
      <c r="C40" s="228" t="n"/>
      <c r="D40" s="229" t="n"/>
      <c r="E40" s="229" t="n"/>
      <c r="F40" s="230" t="n"/>
      <c r="G40" s="163" t="n"/>
      <c r="H40" s="231" t="n"/>
      <c r="I40" s="230" t="n"/>
      <c r="J40" s="229" t="n"/>
      <c r="K40" s="230" t="n"/>
      <c r="L40" s="178">
        <f>IF(G40="","",L39+IF(E40="pemasukan",G40,-G40))</f>
        <v/>
      </c>
    </row>
    <row r="41" ht="21.75" customHeight="1" s="124">
      <c r="B41" s="171">
        <f>IF(C41="","",ROW()-6)</f>
        <v/>
      </c>
      <c r="C41" s="223" t="n"/>
      <c r="D41" s="224" t="n"/>
      <c r="E41" s="224" t="n"/>
      <c r="F41" s="225" t="n"/>
      <c r="G41" s="161" t="n"/>
      <c r="H41" s="226" t="n"/>
      <c r="I41" s="225" t="n"/>
      <c r="J41" s="224" t="n"/>
      <c r="K41" s="225" t="n"/>
      <c r="L41" s="176">
        <f>IF(G41="","",L40+IF(E41="pemasukan",G41,-G41))</f>
        <v/>
      </c>
    </row>
    <row r="42" ht="21.75" customHeight="1" s="124">
      <c r="B42" s="227">
        <f>IF(C42="","",ROW()-6)</f>
        <v/>
      </c>
      <c r="C42" s="228" t="n"/>
      <c r="D42" s="229" t="n"/>
      <c r="E42" s="229" t="n"/>
      <c r="F42" s="230" t="n"/>
      <c r="G42" s="163" t="n"/>
      <c r="H42" s="231" t="n"/>
      <c r="I42" s="230" t="n"/>
      <c r="J42" s="229" t="n"/>
      <c r="K42" s="230" t="n"/>
      <c r="L42" s="178">
        <f>IF(G42="","",L41+IF(E42="pemasukan",G42,-G42))</f>
        <v/>
      </c>
    </row>
    <row r="43" ht="21.75" customHeight="1" s="124">
      <c r="B43" s="171">
        <f>IF(C43="","",ROW()-6)</f>
        <v/>
      </c>
      <c r="C43" s="223" t="n"/>
      <c r="D43" s="224" t="n"/>
      <c r="E43" s="224" t="n"/>
      <c r="F43" s="225" t="n"/>
      <c r="G43" s="161" t="n"/>
      <c r="H43" s="226" t="n"/>
      <c r="I43" s="225" t="n"/>
      <c r="J43" s="224" t="n"/>
      <c r="K43" s="225" t="n"/>
      <c r="L43" s="176">
        <f>IF(G43="","",L42+IF(E43="pemasukan",G43,-G43))</f>
        <v/>
      </c>
    </row>
    <row r="44" ht="21.75" customHeight="1" s="124">
      <c r="B44" s="227">
        <f>IF(C44="","",ROW()-6)</f>
        <v/>
      </c>
      <c r="C44" s="228" t="n"/>
      <c r="D44" s="229" t="n"/>
      <c r="E44" s="229" t="n"/>
      <c r="F44" s="230" t="n"/>
      <c r="G44" s="163" t="n"/>
      <c r="H44" s="231" t="n"/>
      <c r="I44" s="230" t="n"/>
      <c r="J44" s="229" t="n"/>
      <c r="K44" s="230" t="n"/>
      <c r="L44" s="178">
        <f>IF(G44="","",L43+IF(E44="pemasukan",G44,-G44))</f>
        <v/>
      </c>
    </row>
    <row r="45" ht="21.75" customHeight="1" s="124">
      <c r="B45" s="171">
        <f>IF(C45="","",ROW()-6)</f>
        <v/>
      </c>
      <c r="C45" s="223" t="n"/>
      <c r="D45" s="224" t="n"/>
      <c r="E45" s="224" t="n"/>
      <c r="F45" s="225" t="n"/>
      <c r="G45" s="161" t="n"/>
      <c r="H45" s="226" t="n"/>
      <c r="I45" s="225" t="n"/>
      <c r="J45" s="224" t="n"/>
      <c r="K45" s="225" t="n"/>
      <c r="L45" s="176">
        <f>IF(G45="","",L44+IF(E45="pemasukan",G45,-G45))</f>
        <v/>
      </c>
    </row>
    <row r="46" ht="21.75" customHeight="1" s="124">
      <c r="B46" s="227">
        <f>IF(C46="","",ROW()-6)</f>
        <v/>
      </c>
      <c r="C46" s="228" t="n"/>
      <c r="D46" s="229" t="n"/>
      <c r="E46" s="229" t="n"/>
      <c r="F46" s="230" t="n"/>
      <c r="G46" s="163" t="n"/>
      <c r="H46" s="231" t="n"/>
      <c r="I46" s="230" t="n"/>
      <c r="J46" s="229" t="n"/>
      <c r="K46" s="230" t="n"/>
      <c r="L46" s="178">
        <f>IF(G46="","",L45+IF(E46="pemasukan",G46,-G46))</f>
        <v/>
      </c>
    </row>
    <row r="47" ht="21.75" customHeight="1" s="124">
      <c r="B47" s="171">
        <f>IF(C47="","",ROW()-6)</f>
        <v/>
      </c>
      <c r="C47" s="223" t="n"/>
      <c r="D47" s="224" t="n"/>
      <c r="E47" s="224" t="n"/>
      <c r="F47" s="225" t="n"/>
      <c r="G47" s="161" t="n"/>
      <c r="H47" s="226" t="n"/>
      <c r="I47" s="225" t="n"/>
      <c r="J47" s="224" t="n"/>
      <c r="K47" s="225" t="n"/>
      <c r="L47" s="176">
        <f>IF(G47="","",L46+IF(E47="pemasukan",G47,-G47))</f>
        <v/>
      </c>
    </row>
    <row r="48" ht="21.75" customHeight="1" s="124">
      <c r="B48" s="227">
        <f>IF(C48="","",ROW()-6)</f>
        <v/>
      </c>
      <c r="C48" s="228" t="n"/>
      <c r="D48" s="229" t="n"/>
      <c r="E48" s="229" t="n"/>
      <c r="F48" s="230" t="n"/>
      <c r="G48" s="163" t="n"/>
      <c r="H48" s="231" t="n"/>
      <c r="I48" s="230" t="n"/>
      <c r="J48" s="229" t="n"/>
      <c r="K48" s="230" t="n"/>
      <c r="L48" s="178">
        <f>IF(G48="","",L47+IF(E48="pemasukan",G48,-G48))</f>
        <v/>
      </c>
    </row>
    <row r="49" ht="21.75" customHeight="1" s="124">
      <c r="B49" s="171">
        <f>IF(C49="","",ROW()-6)</f>
        <v/>
      </c>
      <c r="C49" s="223" t="n"/>
      <c r="D49" s="224" t="n"/>
      <c r="E49" s="224" t="n"/>
      <c r="F49" s="225" t="n"/>
      <c r="G49" s="161" t="n"/>
      <c r="H49" s="226" t="n"/>
      <c r="I49" s="225" t="n"/>
      <c r="J49" s="224" t="n"/>
      <c r="K49" s="225" t="n"/>
      <c r="L49" s="176">
        <f>IF(G49="","",L48+IF(E49="pemasukan",G49,-G49))</f>
        <v/>
      </c>
    </row>
    <row r="50" ht="21.75" customHeight="1" s="124">
      <c r="B50" s="227">
        <f>IF(C50="","",ROW()-6)</f>
        <v/>
      </c>
      <c r="C50" s="228" t="n"/>
      <c r="D50" s="229" t="n"/>
      <c r="E50" s="229" t="n"/>
      <c r="F50" s="230" t="n"/>
      <c r="G50" s="163" t="n"/>
      <c r="H50" s="231" t="n"/>
      <c r="I50" s="230" t="n"/>
      <c r="J50" s="229" t="n"/>
      <c r="K50" s="230" t="n"/>
      <c r="L50" s="178">
        <f>IF(G50="","",L49+IF(E50="pemasukan",G50,-G50))</f>
        <v/>
      </c>
    </row>
    <row r="51" ht="21.75" customHeight="1" s="124">
      <c r="B51" s="171">
        <f>IF(C51="","",ROW()-6)</f>
        <v/>
      </c>
      <c r="C51" s="223" t="n"/>
      <c r="D51" s="224" t="n"/>
      <c r="E51" s="224" t="n"/>
      <c r="F51" s="225" t="n"/>
      <c r="G51" s="161" t="n"/>
      <c r="H51" s="226" t="n"/>
      <c r="I51" s="225" t="n"/>
      <c r="J51" s="224" t="n"/>
      <c r="K51" s="225" t="n"/>
      <c r="L51" s="176">
        <f>IF(G51="","",L50+IF(E51="pemasukan",G51,-G51))</f>
        <v/>
      </c>
    </row>
    <row r="52" ht="21.75" customHeight="1" s="124">
      <c r="B52" s="227">
        <f>IF(C52="","",ROW()-6)</f>
        <v/>
      </c>
      <c r="C52" s="228" t="n"/>
      <c r="D52" s="229" t="n"/>
      <c r="E52" s="229" t="n"/>
      <c r="F52" s="230" t="n"/>
      <c r="G52" s="163" t="n"/>
      <c r="H52" s="231" t="n"/>
      <c r="I52" s="230" t="n"/>
      <c r="J52" s="229" t="n"/>
      <c r="K52" s="230" t="n"/>
      <c r="L52" s="178">
        <f>IF(G52="","",L51+IF(E52="pemasukan",G52,-G52))</f>
        <v/>
      </c>
    </row>
    <row r="53" ht="21.75" customHeight="1" s="124">
      <c r="B53" s="171">
        <f>IF(C53="","",ROW()-6)</f>
        <v/>
      </c>
      <c r="C53" s="223" t="n"/>
      <c r="D53" s="224" t="n"/>
      <c r="E53" s="224" t="n"/>
      <c r="F53" s="225" t="n"/>
      <c r="G53" s="161" t="n"/>
      <c r="H53" s="226" t="n"/>
      <c r="I53" s="225" t="n"/>
      <c r="J53" s="224" t="n"/>
      <c r="K53" s="225" t="n"/>
      <c r="L53" s="176">
        <f>IF(G53="","",L52+IF(E53="pemasukan",G53,-G53))</f>
        <v/>
      </c>
    </row>
    <row r="54" ht="21.75" customHeight="1" s="124">
      <c r="B54" s="227">
        <f>IF(C54="","",ROW()-6)</f>
        <v/>
      </c>
      <c r="C54" s="228" t="n"/>
      <c r="D54" s="229" t="n"/>
      <c r="E54" s="229" t="n"/>
      <c r="F54" s="230" t="n"/>
      <c r="G54" s="163" t="n"/>
      <c r="H54" s="231" t="n"/>
      <c r="I54" s="230" t="n"/>
      <c r="J54" s="229" t="n"/>
      <c r="K54" s="230" t="n"/>
      <c r="L54" s="178">
        <f>IF(G54="","",L53+IF(E54="pemasukan",G54,-G54))</f>
        <v/>
      </c>
    </row>
    <row r="55" ht="21.75" customHeight="1" s="124">
      <c r="B55" s="171">
        <f>IF(C55="","",ROW()-6)</f>
        <v/>
      </c>
      <c r="C55" s="223" t="n"/>
      <c r="D55" s="224" t="n"/>
      <c r="E55" s="224" t="n"/>
      <c r="F55" s="225" t="n"/>
      <c r="G55" s="161" t="n"/>
      <c r="H55" s="226" t="n"/>
      <c r="I55" s="225" t="n"/>
      <c r="J55" s="224" t="n"/>
      <c r="K55" s="225" t="n"/>
      <c r="L55" s="176">
        <f>IF(G55="","",L54+IF(E55="pemasukan",G55,-G55))</f>
        <v/>
      </c>
    </row>
    <row r="56" ht="21.75" customHeight="1" s="124">
      <c r="B56" s="227">
        <f>IF(C56="","",ROW()-6)</f>
        <v/>
      </c>
      <c r="C56" s="228" t="n"/>
      <c r="D56" s="229" t="n"/>
      <c r="E56" s="229" t="n"/>
      <c r="F56" s="230" t="n"/>
      <c r="G56" s="163" t="n"/>
      <c r="H56" s="231" t="n"/>
      <c r="I56" s="230" t="n"/>
      <c r="J56" s="229" t="n"/>
      <c r="K56" s="230" t="n"/>
      <c r="L56" s="178">
        <f>IF(G56="","",L55+IF(E56="pemasukan",G56,-G56))</f>
        <v/>
      </c>
    </row>
    <row r="57" ht="21.75" customHeight="1" s="124">
      <c r="B57" s="171">
        <f>IF(C57="","",ROW()-6)</f>
        <v/>
      </c>
      <c r="C57" s="223" t="n"/>
      <c r="D57" s="224" t="n"/>
      <c r="E57" s="224" t="n"/>
      <c r="F57" s="225" t="n"/>
      <c r="G57" s="161" t="n"/>
      <c r="H57" s="226" t="n"/>
      <c r="I57" s="225" t="n"/>
      <c r="J57" s="224" t="n"/>
      <c r="K57" s="225" t="n"/>
      <c r="L57" s="176">
        <f>IF(G57="","",L56+IF(E57="pemasukan",G57,-G57))</f>
        <v/>
      </c>
    </row>
    <row r="58" ht="21.75" customHeight="1" s="124">
      <c r="B58" s="227">
        <f>IF(C58="","",ROW()-6)</f>
        <v/>
      </c>
      <c r="C58" s="228" t="n"/>
      <c r="D58" s="229" t="n"/>
      <c r="E58" s="229" t="n"/>
      <c r="F58" s="230" t="n"/>
      <c r="G58" s="163" t="n"/>
      <c r="H58" s="231" t="n"/>
      <c r="I58" s="230" t="n"/>
      <c r="J58" s="229" t="n"/>
      <c r="K58" s="230" t="n"/>
      <c r="L58" s="178">
        <f>IF(G58="","",L57+IF(E58="pemasukan",G58,-G58))</f>
        <v/>
      </c>
    </row>
    <row r="59" ht="21.75" customHeight="1" s="124">
      <c r="B59" s="171">
        <f>IF(C59="","",ROW()-6)</f>
        <v/>
      </c>
      <c r="C59" s="223" t="n"/>
      <c r="D59" s="224" t="n"/>
      <c r="E59" s="224" t="n"/>
      <c r="F59" s="225" t="n"/>
      <c r="G59" s="161" t="n"/>
      <c r="H59" s="226" t="n"/>
      <c r="I59" s="225" t="n"/>
      <c r="J59" s="224" t="n"/>
      <c r="K59" s="225" t="n"/>
      <c r="L59" s="176">
        <f>IF(G59="","",L58+IF(E59="pemasukan",G59,-G59))</f>
        <v/>
      </c>
    </row>
    <row r="60" ht="21.75" customHeight="1" s="124">
      <c r="B60" s="227">
        <f>IF(C60="","",ROW()-6)</f>
        <v/>
      </c>
      <c r="C60" s="228" t="n"/>
      <c r="D60" s="229" t="n"/>
      <c r="E60" s="229" t="n"/>
      <c r="F60" s="230" t="n"/>
      <c r="G60" s="163" t="n"/>
      <c r="H60" s="231" t="n"/>
      <c r="I60" s="230" t="n"/>
      <c r="J60" s="229" t="n"/>
      <c r="K60" s="230" t="n"/>
      <c r="L60" s="178">
        <f>IF(G60="","",L59+IF(E60="pemasukan",G60,-G60))</f>
        <v/>
      </c>
    </row>
    <row r="61" ht="21.75" customHeight="1" s="124">
      <c r="B61" s="171">
        <f>IF(C61="","",ROW()-6)</f>
        <v/>
      </c>
      <c r="C61" s="223" t="n"/>
      <c r="D61" s="224" t="n"/>
      <c r="E61" s="224" t="n"/>
      <c r="F61" s="225" t="n"/>
      <c r="G61" s="161" t="n"/>
      <c r="H61" s="226" t="n"/>
      <c r="I61" s="225" t="n"/>
      <c r="J61" s="224" t="n"/>
      <c r="K61" s="225" t="n"/>
      <c r="L61" s="176">
        <f>IF(G61="","",L60+IF(E61="pemasukan",G61,-G61))</f>
        <v/>
      </c>
    </row>
    <row r="62" ht="21.75" customHeight="1" s="124">
      <c r="B62" s="227">
        <f>IF(C62="","",ROW()-6)</f>
        <v/>
      </c>
      <c r="C62" s="228" t="n"/>
      <c r="D62" s="229" t="n"/>
      <c r="E62" s="229" t="n"/>
      <c r="F62" s="230" t="n"/>
      <c r="G62" s="163" t="n"/>
      <c r="H62" s="231" t="n"/>
      <c r="I62" s="230" t="n"/>
      <c r="J62" s="229" t="n"/>
      <c r="K62" s="230" t="n"/>
      <c r="L62" s="178">
        <f>IF(G62="","",L61+IF(E62="pemasukan",G62,-G62))</f>
        <v/>
      </c>
    </row>
    <row r="63" ht="21.75" customHeight="1" s="124">
      <c r="B63" s="171">
        <f>IF(C63="","",ROW()-6)</f>
        <v/>
      </c>
      <c r="C63" s="223" t="n"/>
      <c r="D63" s="224" t="n"/>
      <c r="E63" s="224" t="n"/>
      <c r="F63" s="225" t="n"/>
      <c r="G63" s="161" t="n"/>
      <c r="H63" s="226" t="n"/>
      <c r="I63" s="225" t="n"/>
      <c r="J63" s="224" t="n"/>
      <c r="K63" s="225" t="n"/>
      <c r="L63" s="176">
        <f>IF(G63="","",L62+IF(E63="pemasukan",G63,-G63))</f>
        <v/>
      </c>
    </row>
    <row r="64" ht="21.75" customHeight="1" s="124">
      <c r="B64" s="227">
        <f>IF(C64="","",ROW()-6)</f>
        <v/>
      </c>
      <c r="C64" s="228" t="n"/>
      <c r="D64" s="229" t="n"/>
      <c r="E64" s="229" t="n"/>
      <c r="F64" s="230" t="n"/>
      <c r="G64" s="163" t="n"/>
      <c r="H64" s="231" t="n"/>
      <c r="I64" s="230" t="n"/>
      <c r="J64" s="229" t="n"/>
      <c r="K64" s="230" t="n"/>
      <c r="L64" s="178">
        <f>IF(G64="","",L63+IF(E64="pemasukan",G64,-G64))</f>
        <v/>
      </c>
    </row>
    <row r="65" ht="21.75" customHeight="1" s="124">
      <c r="B65" s="171">
        <f>IF(C65="","",ROW()-6)</f>
        <v/>
      </c>
      <c r="C65" s="223" t="n"/>
      <c r="D65" s="224" t="n"/>
      <c r="E65" s="224" t="n"/>
      <c r="F65" s="225" t="n"/>
      <c r="G65" s="161" t="n"/>
      <c r="H65" s="226" t="n"/>
      <c r="I65" s="225" t="n"/>
      <c r="J65" s="224" t="n"/>
      <c r="K65" s="225" t="n"/>
      <c r="L65" s="176">
        <f>IF(G65="","",L64+IF(E65="pemasukan",G65,-G65))</f>
        <v/>
      </c>
    </row>
    <row r="66" ht="21.75" customHeight="1" s="124">
      <c r="B66" s="227">
        <f>IF(C66="","",ROW()-6)</f>
        <v/>
      </c>
      <c r="C66" s="228" t="n"/>
      <c r="D66" s="229" t="n"/>
      <c r="E66" s="229" t="n"/>
      <c r="F66" s="230" t="n"/>
      <c r="G66" s="163" t="n"/>
      <c r="H66" s="231" t="n"/>
      <c r="I66" s="230" t="n"/>
      <c r="J66" s="229" t="n"/>
      <c r="K66" s="230" t="n"/>
      <c r="L66" s="178">
        <f>IF(G66="","",L65+IF(E66="pemasukan",G66,-G66))</f>
        <v/>
      </c>
    </row>
    <row r="67" ht="21.75" customHeight="1" s="124">
      <c r="B67" s="171">
        <f>IF(C67="","",ROW()-6)</f>
        <v/>
      </c>
      <c r="C67" s="223" t="n"/>
      <c r="D67" s="224" t="n"/>
      <c r="E67" s="224" t="n"/>
      <c r="F67" s="225" t="n"/>
      <c r="G67" s="161" t="n"/>
      <c r="H67" s="226" t="n"/>
      <c r="I67" s="225" t="n"/>
      <c r="J67" s="224" t="n"/>
      <c r="K67" s="225" t="n"/>
      <c r="L67" s="176">
        <f>IF(G67="","",L66+IF(E67="pemasukan",G67,-G67))</f>
        <v/>
      </c>
    </row>
    <row r="68" ht="21.75" customHeight="1" s="124">
      <c r="B68" s="227">
        <f>IF(C68="","",ROW()-6)</f>
        <v/>
      </c>
      <c r="C68" s="228" t="n"/>
      <c r="D68" s="229" t="n"/>
      <c r="E68" s="229" t="n"/>
      <c r="F68" s="230" t="n"/>
      <c r="G68" s="163" t="n"/>
      <c r="H68" s="231" t="n"/>
      <c r="I68" s="230" t="n"/>
      <c r="J68" s="229" t="n"/>
      <c r="K68" s="230" t="n"/>
      <c r="L68" s="178">
        <f>IF(G68="","",L67+IF(E68="pemasukan",G68,-G68))</f>
        <v/>
      </c>
    </row>
    <row r="69" ht="21.75" customHeight="1" s="124">
      <c r="B69" s="171">
        <f>IF(C69="","",ROW()-6)</f>
        <v/>
      </c>
      <c r="C69" s="223" t="n"/>
      <c r="D69" s="224" t="n"/>
      <c r="E69" s="224" t="n"/>
      <c r="F69" s="225" t="n"/>
      <c r="G69" s="161" t="n"/>
      <c r="H69" s="226" t="n"/>
      <c r="I69" s="225" t="n"/>
      <c r="J69" s="224" t="n"/>
      <c r="K69" s="225" t="n"/>
      <c r="L69" s="176">
        <f>IF(G69="","",L68+IF(E69="pemasukan",G69,-G69))</f>
        <v/>
      </c>
    </row>
    <row r="70" ht="21.75" customHeight="1" s="124">
      <c r="B70" s="227">
        <f>IF(C70="","",ROW()-6)</f>
        <v/>
      </c>
      <c r="C70" s="228" t="n"/>
      <c r="D70" s="229" t="n"/>
      <c r="E70" s="229" t="n"/>
      <c r="F70" s="230" t="n"/>
      <c r="G70" s="163" t="n"/>
      <c r="H70" s="231" t="n"/>
      <c r="I70" s="230" t="n"/>
      <c r="J70" s="229" t="n"/>
      <c r="K70" s="230" t="n"/>
      <c r="L70" s="178">
        <f>IF(G70="","",L69+IF(E70="pemasukan",G70,-G70))</f>
        <v/>
      </c>
    </row>
    <row r="71" ht="21.75" customHeight="1" s="124">
      <c r="B71" s="171">
        <f>IF(C71="","",ROW()-6)</f>
        <v/>
      </c>
      <c r="C71" s="223" t="n"/>
      <c r="D71" s="224" t="n"/>
      <c r="E71" s="224" t="n"/>
      <c r="F71" s="225" t="n"/>
      <c r="G71" s="161" t="n"/>
      <c r="H71" s="226" t="n"/>
      <c r="I71" s="225" t="n"/>
      <c r="J71" s="224" t="n"/>
      <c r="K71" s="225" t="n"/>
      <c r="L71" s="176">
        <f>IF(G71="","",L70+IF(E71="pemasukan",G71,-G71))</f>
        <v/>
      </c>
    </row>
    <row r="72" ht="21.75" customHeight="1" s="124">
      <c r="B72" s="227">
        <f>IF(C72="","",ROW()-6)</f>
        <v/>
      </c>
      <c r="C72" s="228" t="n"/>
      <c r="D72" s="229" t="n"/>
      <c r="E72" s="229" t="n"/>
      <c r="F72" s="230" t="n"/>
      <c r="G72" s="163" t="n"/>
      <c r="H72" s="231" t="n"/>
      <c r="I72" s="230" t="n"/>
      <c r="J72" s="229" t="n"/>
      <c r="K72" s="230" t="n"/>
      <c r="L72" s="178">
        <f>IF(G72="","",L71+IF(E72="pemasukan",G72,-G72))</f>
        <v/>
      </c>
    </row>
    <row r="73" ht="21.75" customHeight="1" s="124">
      <c r="B73" s="171">
        <f>IF(C73="","",ROW()-6)</f>
        <v/>
      </c>
      <c r="C73" s="223" t="n"/>
      <c r="D73" s="224" t="n"/>
      <c r="E73" s="224" t="n"/>
      <c r="F73" s="225" t="n"/>
      <c r="G73" s="161" t="n"/>
      <c r="H73" s="226" t="n"/>
      <c r="I73" s="225" t="n"/>
      <c r="J73" s="224" t="n"/>
      <c r="K73" s="225" t="n"/>
      <c r="L73" s="176">
        <f>IF(G73="","",L72+IF(E73="pemasukan",G73,-G73))</f>
        <v/>
      </c>
    </row>
    <row r="74" ht="21.75" customHeight="1" s="124">
      <c r="B74" s="227">
        <f>IF(C74="","",ROW()-6)</f>
        <v/>
      </c>
      <c r="C74" s="228" t="n"/>
      <c r="D74" s="229" t="n"/>
      <c r="E74" s="229" t="n"/>
      <c r="F74" s="230" t="n"/>
      <c r="G74" s="163" t="n"/>
      <c r="H74" s="231" t="n"/>
      <c r="I74" s="230" t="n"/>
      <c r="J74" s="229" t="n"/>
      <c r="K74" s="230" t="n"/>
      <c r="L74" s="178">
        <f>IF(G74="","",L73+IF(E74="pemasukan",G74,-G74))</f>
        <v/>
      </c>
    </row>
    <row r="75" ht="21.75" customHeight="1" s="124">
      <c r="B75" s="171">
        <f>IF(C75="","",ROW()-6)</f>
        <v/>
      </c>
      <c r="C75" s="223" t="n"/>
      <c r="D75" s="224" t="n"/>
      <c r="E75" s="224" t="n"/>
      <c r="F75" s="225" t="n"/>
      <c r="G75" s="161" t="n"/>
      <c r="H75" s="226" t="n"/>
      <c r="I75" s="225" t="n"/>
      <c r="J75" s="224" t="n"/>
      <c r="K75" s="225" t="n"/>
      <c r="L75" s="176">
        <f>IF(G75="","",L74+IF(E75="pemasukan",G75,-G75))</f>
        <v/>
      </c>
    </row>
    <row r="76" ht="21.75" customHeight="1" s="124">
      <c r="B76" s="227">
        <f>IF(C76="","",ROW()-6)</f>
        <v/>
      </c>
      <c r="C76" s="228" t="n"/>
      <c r="D76" s="229" t="n"/>
      <c r="E76" s="229" t="n"/>
      <c r="F76" s="230" t="n"/>
      <c r="G76" s="163" t="n"/>
      <c r="H76" s="231" t="n"/>
      <c r="I76" s="230" t="n"/>
      <c r="J76" s="229" t="n"/>
      <c r="K76" s="230" t="n"/>
      <c r="L76" s="178">
        <f>IF(G76="","",L75+IF(E76="pemasukan",G76,-G76))</f>
        <v/>
      </c>
    </row>
    <row r="77" ht="21.75" customHeight="1" s="124">
      <c r="B77" s="171">
        <f>IF(C77="","",ROW()-6)</f>
        <v/>
      </c>
      <c r="C77" s="223" t="n"/>
      <c r="D77" s="224" t="n"/>
      <c r="E77" s="224" t="n"/>
      <c r="F77" s="225" t="n"/>
      <c r="G77" s="161" t="n"/>
      <c r="H77" s="226" t="n"/>
      <c r="I77" s="225" t="n"/>
      <c r="J77" s="224" t="n"/>
      <c r="K77" s="225" t="n"/>
      <c r="L77" s="176">
        <f>IF(G77="","",L76+IF(E77="pemasukan",G77,-G77))</f>
        <v/>
      </c>
    </row>
    <row r="78" ht="21.75" customHeight="1" s="124">
      <c r="B78" s="227">
        <f>IF(C78="","",ROW()-6)</f>
        <v/>
      </c>
      <c r="C78" s="228" t="n"/>
      <c r="D78" s="229" t="n"/>
      <c r="E78" s="229" t="n"/>
      <c r="F78" s="230" t="n"/>
      <c r="G78" s="163" t="n"/>
      <c r="H78" s="231" t="n"/>
      <c r="I78" s="230" t="n"/>
      <c r="J78" s="229" t="n"/>
      <c r="K78" s="230" t="n"/>
      <c r="L78" s="178">
        <f>IF(G78="","",L77+IF(E78="pemasukan",G78,-G78))</f>
        <v/>
      </c>
    </row>
    <row r="79" ht="21.75" customHeight="1" s="124">
      <c r="B79" s="171">
        <f>IF(C79="","",ROW()-6)</f>
        <v/>
      </c>
      <c r="C79" s="223" t="n"/>
      <c r="D79" s="224" t="n"/>
      <c r="E79" s="224" t="n"/>
      <c r="F79" s="225" t="n"/>
      <c r="G79" s="161" t="n"/>
      <c r="H79" s="226" t="n"/>
      <c r="I79" s="225" t="n"/>
      <c r="J79" s="224" t="n"/>
      <c r="K79" s="225" t="n"/>
      <c r="L79" s="176">
        <f>IF(G79="","",L78+IF(E79="pemasukan",G79,-G79))</f>
        <v/>
      </c>
    </row>
    <row r="80" ht="21.75" customHeight="1" s="124">
      <c r="B80" s="227">
        <f>IF(C80="","",ROW()-6)</f>
        <v/>
      </c>
      <c r="C80" s="228" t="n"/>
      <c r="D80" s="229" t="n"/>
      <c r="E80" s="229" t="n"/>
      <c r="F80" s="230" t="n"/>
      <c r="G80" s="163" t="n"/>
      <c r="H80" s="231" t="n"/>
      <c r="I80" s="230" t="n"/>
      <c r="J80" s="229" t="n"/>
      <c r="K80" s="230" t="n"/>
      <c r="L80" s="178">
        <f>IF(G80="","",L79+IF(E80="pemasukan",G80,-G80))</f>
        <v/>
      </c>
    </row>
    <row r="81" ht="21.75" customHeight="1" s="124">
      <c r="B81" s="171">
        <f>IF(C81="","",ROW()-6)</f>
        <v/>
      </c>
      <c r="C81" s="223" t="n"/>
      <c r="D81" s="224" t="n"/>
      <c r="E81" s="224" t="n"/>
      <c r="F81" s="225" t="n"/>
      <c r="G81" s="161" t="n"/>
      <c r="H81" s="226" t="n"/>
      <c r="I81" s="225" t="n"/>
      <c r="J81" s="224" t="n"/>
      <c r="K81" s="225" t="n"/>
      <c r="L81" s="176">
        <f>IF(G81="","",L80+IF(E81="pemasukan",G81,-G81))</f>
        <v/>
      </c>
    </row>
    <row r="82" ht="21.75" customHeight="1" s="124">
      <c r="B82" s="227">
        <f>IF(C82="","",ROW()-6)</f>
        <v/>
      </c>
      <c r="C82" s="228" t="n"/>
      <c r="D82" s="229" t="n"/>
      <c r="E82" s="229" t="n"/>
      <c r="F82" s="230" t="n"/>
      <c r="G82" s="163" t="n"/>
      <c r="H82" s="231" t="n"/>
      <c r="I82" s="230" t="n"/>
      <c r="J82" s="229" t="n"/>
      <c r="K82" s="230" t="n"/>
      <c r="L82" s="178">
        <f>IF(G82="","",L81+IF(E82="pemasukan",G82,-G82))</f>
        <v/>
      </c>
    </row>
    <row r="83" ht="21.75" customHeight="1" s="124">
      <c r="B83" s="171">
        <f>IF(C83="","",ROW()-6)</f>
        <v/>
      </c>
      <c r="C83" s="223" t="n"/>
      <c r="D83" s="224" t="n"/>
      <c r="E83" s="224" t="n"/>
      <c r="F83" s="225" t="n"/>
      <c r="G83" s="161" t="n"/>
      <c r="H83" s="226" t="n"/>
      <c r="I83" s="225" t="n"/>
      <c r="J83" s="224" t="n"/>
      <c r="K83" s="225" t="n"/>
      <c r="L83" s="176">
        <f>IF(G83="","",L82+IF(E83="pemasukan",G83,-G83))</f>
        <v/>
      </c>
    </row>
    <row r="84" ht="21.75" customHeight="1" s="124">
      <c r="B84" s="227">
        <f>IF(C84="","",ROW()-6)</f>
        <v/>
      </c>
      <c r="C84" s="228" t="n"/>
      <c r="D84" s="229" t="n"/>
      <c r="E84" s="229" t="n"/>
      <c r="F84" s="230" t="n"/>
      <c r="G84" s="163" t="n"/>
      <c r="H84" s="231" t="n"/>
      <c r="I84" s="230" t="n"/>
      <c r="J84" s="229" t="n"/>
      <c r="K84" s="230" t="n"/>
      <c r="L84" s="178">
        <f>IF(G84="","",L83+IF(E84="pemasukan",G84,-G84))</f>
        <v/>
      </c>
    </row>
    <row r="85" ht="21.75" customHeight="1" s="124">
      <c r="B85" s="171">
        <f>IF(C85="","",ROW()-6)</f>
        <v/>
      </c>
      <c r="C85" s="223" t="n"/>
      <c r="D85" s="224" t="n"/>
      <c r="E85" s="224" t="n"/>
      <c r="F85" s="225" t="n"/>
      <c r="G85" s="161" t="n"/>
      <c r="H85" s="226" t="n"/>
      <c r="I85" s="225" t="n"/>
      <c r="J85" s="224" t="n"/>
      <c r="K85" s="225" t="n"/>
      <c r="L85" s="176">
        <f>IF(G85="","",L84+IF(E85="pemasukan",G85,-G85))</f>
        <v/>
      </c>
    </row>
    <row r="86" ht="21.75" customHeight="1" s="124">
      <c r="B86" s="227">
        <f>IF(C86="","",ROW()-6)</f>
        <v/>
      </c>
      <c r="C86" s="228" t="n"/>
      <c r="D86" s="229" t="n"/>
      <c r="E86" s="229" t="n"/>
      <c r="F86" s="230" t="n"/>
      <c r="G86" s="163" t="n"/>
      <c r="H86" s="231" t="n"/>
      <c r="I86" s="230" t="n"/>
      <c r="J86" s="229" t="n"/>
      <c r="K86" s="230" t="n"/>
      <c r="L86" s="178">
        <f>IF(G86="","",L85+IF(E86="pemasukan",G86,-G86))</f>
        <v/>
      </c>
    </row>
    <row r="87" ht="21.75" customHeight="1" s="124">
      <c r="B87" s="171">
        <f>IF(C87="","",ROW()-6)</f>
        <v/>
      </c>
      <c r="C87" s="223" t="n"/>
      <c r="D87" s="224" t="n"/>
      <c r="E87" s="224" t="n"/>
      <c r="F87" s="225" t="n"/>
      <c r="G87" s="161" t="n"/>
      <c r="H87" s="226" t="n"/>
      <c r="I87" s="225" t="n"/>
      <c r="J87" s="224" t="n"/>
      <c r="K87" s="225" t="n"/>
      <c r="L87" s="176">
        <f>IF(G87="","",L86+IF(E87="pemasukan",G87,-G87))</f>
        <v/>
      </c>
    </row>
    <row r="88" ht="21.75" customHeight="1" s="124">
      <c r="B88" s="227">
        <f>IF(C88="","",ROW()-6)</f>
        <v/>
      </c>
      <c r="C88" s="228" t="n"/>
      <c r="D88" s="229" t="n"/>
      <c r="E88" s="229" t="n"/>
      <c r="F88" s="230" t="n"/>
      <c r="G88" s="163" t="n"/>
      <c r="H88" s="231" t="n"/>
      <c r="I88" s="230" t="n"/>
      <c r="J88" s="229" t="n"/>
      <c r="K88" s="230" t="n"/>
      <c r="L88" s="178">
        <f>IF(G88="","",L87+IF(E88="pemasukan",G88,-G88))</f>
        <v/>
      </c>
    </row>
    <row r="89" ht="21.75" customHeight="1" s="124">
      <c r="B89" s="171">
        <f>IF(C89="","",ROW()-6)</f>
        <v/>
      </c>
      <c r="C89" s="223" t="n"/>
      <c r="D89" s="224" t="n"/>
      <c r="E89" s="224" t="n"/>
      <c r="F89" s="225" t="n"/>
      <c r="G89" s="161" t="n"/>
      <c r="H89" s="226" t="n"/>
      <c r="I89" s="225" t="n"/>
      <c r="J89" s="224" t="n"/>
      <c r="K89" s="225" t="n"/>
      <c r="L89" s="176">
        <f>IF(G89="","",L88+IF(E89="pemasukan",G89,-G89))</f>
        <v/>
      </c>
    </row>
    <row r="90" ht="21.75" customHeight="1" s="124">
      <c r="B90" s="227">
        <f>IF(C90="","",ROW()-6)</f>
        <v/>
      </c>
      <c r="C90" s="228" t="n"/>
      <c r="D90" s="229" t="n"/>
      <c r="E90" s="229" t="n"/>
      <c r="F90" s="230" t="n"/>
      <c r="G90" s="163" t="n"/>
      <c r="H90" s="231" t="n"/>
      <c r="I90" s="230" t="n"/>
      <c r="J90" s="229" t="n"/>
      <c r="K90" s="230" t="n"/>
      <c r="L90" s="178">
        <f>IF(G90="","",L89+IF(E90="pemasukan",G90,-G90))</f>
        <v/>
      </c>
    </row>
    <row r="91" ht="21.75" customHeight="1" s="124">
      <c r="B91" s="171">
        <f>IF(C91="","",ROW()-6)</f>
        <v/>
      </c>
      <c r="C91" s="223" t="n"/>
      <c r="D91" s="224" t="n"/>
      <c r="E91" s="224" t="n"/>
      <c r="F91" s="225" t="n"/>
      <c r="G91" s="161" t="n"/>
      <c r="H91" s="226" t="n"/>
      <c r="I91" s="225" t="n"/>
      <c r="J91" s="224" t="n"/>
      <c r="K91" s="225" t="n"/>
      <c r="L91" s="176">
        <f>IF(G91="","",L90+IF(E91="pemasukan",G91,-G91))</f>
        <v/>
      </c>
    </row>
    <row r="92" ht="21.75" customHeight="1" s="124">
      <c r="B92" s="227">
        <f>IF(C92="","",ROW()-6)</f>
        <v/>
      </c>
      <c r="C92" s="228" t="n"/>
      <c r="D92" s="229" t="n"/>
      <c r="E92" s="229" t="n"/>
      <c r="F92" s="230" t="n"/>
      <c r="G92" s="163" t="n"/>
      <c r="H92" s="231" t="n"/>
      <c r="I92" s="230" t="n"/>
      <c r="J92" s="229" t="n"/>
      <c r="K92" s="230" t="n"/>
      <c r="L92" s="178">
        <f>IF(G92="","",L91+IF(E92="pemasukan",G92,-G92))</f>
        <v/>
      </c>
    </row>
    <row r="93" ht="21.75" customHeight="1" s="124">
      <c r="B93" s="171">
        <f>IF(C93="","",ROW()-6)</f>
        <v/>
      </c>
      <c r="C93" s="223" t="n"/>
      <c r="D93" s="224" t="n"/>
      <c r="E93" s="224" t="n"/>
      <c r="F93" s="225" t="n"/>
      <c r="G93" s="161" t="n"/>
      <c r="H93" s="226" t="n"/>
      <c r="I93" s="225" t="n"/>
      <c r="J93" s="224" t="n"/>
      <c r="K93" s="225" t="n"/>
      <c r="L93" s="176">
        <f>IF(G93="","",L92+IF(E93="pemasukan",G93,-G93))</f>
        <v/>
      </c>
    </row>
    <row r="94" ht="21.75" customHeight="1" s="124">
      <c r="B94" s="227">
        <f>IF(C94="","",ROW()-6)</f>
        <v/>
      </c>
      <c r="C94" s="228" t="n"/>
      <c r="D94" s="229" t="n"/>
      <c r="E94" s="229" t="n"/>
      <c r="F94" s="230" t="n"/>
      <c r="G94" s="163" t="n"/>
      <c r="H94" s="231" t="n"/>
      <c r="I94" s="230" t="n"/>
      <c r="J94" s="229" t="n"/>
      <c r="K94" s="230" t="n"/>
      <c r="L94" s="178">
        <f>IF(G94="","",L93+IF(E94="pemasukan",G94,-G94))</f>
        <v/>
      </c>
    </row>
    <row r="95" ht="21.75" customHeight="1" s="124">
      <c r="B95" s="171">
        <f>IF(C95="","",ROW()-6)</f>
        <v/>
      </c>
      <c r="C95" s="223" t="n"/>
      <c r="D95" s="224" t="n"/>
      <c r="E95" s="224" t="n"/>
      <c r="F95" s="225" t="n"/>
      <c r="G95" s="161" t="n"/>
      <c r="H95" s="226" t="n"/>
      <c r="I95" s="225" t="n"/>
      <c r="J95" s="224" t="n"/>
      <c r="K95" s="225" t="n"/>
      <c r="L95" s="176">
        <f>IF(G95="","",L94+IF(E95="pemasukan",G95,-G95))</f>
        <v/>
      </c>
    </row>
    <row r="96" ht="21.75" customHeight="1" s="124">
      <c r="B96" s="227">
        <f>IF(C96="","",ROW()-6)</f>
        <v/>
      </c>
      <c r="C96" s="228" t="n"/>
      <c r="D96" s="229" t="n"/>
      <c r="E96" s="229" t="n"/>
      <c r="F96" s="230" t="n"/>
      <c r="G96" s="163" t="n"/>
      <c r="H96" s="231" t="n"/>
      <c r="I96" s="230" t="n"/>
      <c r="J96" s="229" t="n"/>
      <c r="K96" s="230" t="n"/>
      <c r="L96" s="178">
        <f>IF(G96="","",L95+IF(E96="pemasukan",G96,-G96))</f>
        <v/>
      </c>
    </row>
    <row r="97" ht="21.75" customHeight="1" s="124">
      <c r="B97" s="171">
        <f>IF(C97="","",ROW()-6)</f>
        <v/>
      </c>
      <c r="C97" s="223" t="n"/>
      <c r="D97" s="224" t="n"/>
      <c r="E97" s="224" t="n"/>
      <c r="F97" s="225" t="n"/>
      <c r="G97" s="161" t="n"/>
      <c r="H97" s="226" t="n"/>
      <c r="I97" s="225" t="n"/>
      <c r="J97" s="224" t="n"/>
      <c r="K97" s="225" t="n"/>
      <c r="L97" s="176">
        <f>IF(G97="","",L96+IF(E97="pemasukan",G97,-G97))</f>
        <v/>
      </c>
    </row>
    <row r="98" ht="21.75" customHeight="1" s="124">
      <c r="B98" s="227">
        <f>IF(C98="","",ROW()-6)</f>
        <v/>
      </c>
      <c r="C98" s="228" t="n"/>
      <c r="D98" s="229" t="n"/>
      <c r="E98" s="229" t="n"/>
      <c r="F98" s="230" t="n"/>
      <c r="G98" s="163" t="n"/>
      <c r="H98" s="231" t="n"/>
      <c r="I98" s="230" t="n"/>
      <c r="J98" s="229" t="n"/>
      <c r="K98" s="230" t="n"/>
      <c r="L98" s="178">
        <f>IF(G98="","",L97+IF(E98="pemasukan",G98,-G98))</f>
        <v/>
      </c>
    </row>
    <row r="99" ht="21.75" customHeight="1" s="124">
      <c r="B99" s="171">
        <f>IF(C99="","",ROW()-6)</f>
        <v/>
      </c>
      <c r="C99" s="223" t="n"/>
      <c r="D99" s="224" t="n"/>
      <c r="E99" s="224" t="n"/>
      <c r="F99" s="225" t="n"/>
      <c r="G99" s="161" t="n"/>
      <c r="H99" s="226" t="n"/>
      <c r="I99" s="225" t="n"/>
      <c r="J99" s="224" t="n"/>
      <c r="K99" s="225" t="n"/>
      <c r="L99" s="176">
        <f>IF(G99="","",L98+IF(E99="pemasukan",G99,-G99))</f>
        <v/>
      </c>
    </row>
    <row r="100" ht="21.75" customHeight="1" s="124">
      <c r="B100" s="227">
        <f>IF(C100="","",ROW()-6)</f>
        <v/>
      </c>
      <c r="C100" s="228" t="n"/>
      <c r="D100" s="229" t="n"/>
      <c r="E100" s="229" t="n"/>
      <c r="F100" s="230" t="n"/>
      <c r="G100" s="163" t="n"/>
      <c r="H100" s="231" t="n"/>
      <c r="I100" s="230" t="n"/>
      <c r="J100" s="229" t="n"/>
      <c r="K100" s="230" t="n"/>
      <c r="L100" s="178">
        <f>IF(G100="","",L99+IF(E100="pemasukan",G100,-G100))</f>
        <v/>
      </c>
    </row>
    <row r="101" ht="21.75" customHeight="1" s="124">
      <c r="B101" s="171">
        <f>IF(C101="","",ROW()-6)</f>
        <v/>
      </c>
      <c r="C101" s="223" t="n"/>
      <c r="D101" s="224" t="n"/>
      <c r="E101" s="224" t="n"/>
      <c r="F101" s="225" t="n"/>
      <c r="G101" s="161" t="n"/>
      <c r="H101" s="226" t="n"/>
      <c r="I101" s="225" t="n"/>
      <c r="J101" s="224" t="n"/>
      <c r="K101" s="225" t="n"/>
      <c r="L101" s="176">
        <f>IF(G101="","",L100+IF(E101="pemasukan",G101,-G101))</f>
        <v/>
      </c>
    </row>
    <row r="102" ht="21.75" customHeight="1" s="124">
      <c r="B102" s="227">
        <f>IF(C102="","",ROW()-6)</f>
        <v/>
      </c>
      <c r="C102" s="228" t="n"/>
      <c r="D102" s="229" t="n"/>
      <c r="E102" s="229" t="n"/>
      <c r="F102" s="230" t="n"/>
      <c r="G102" s="163" t="n"/>
      <c r="H102" s="231" t="n"/>
      <c r="I102" s="230" t="n"/>
      <c r="J102" s="229" t="n"/>
      <c r="K102" s="230" t="n"/>
      <c r="L102" s="178">
        <f>IF(G102="","",L101+IF(E102="pemasukan",G102,-G102))</f>
        <v/>
      </c>
    </row>
    <row r="103" ht="21.75" customHeight="1" s="124">
      <c r="B103" s="171">
        <f>IF(C103="","",ROW()-6)</f>
        <v/>
      </c>
      <c r="C103" s="223" t="n"/>
      <c r="D103" s="224" t="n"/>
      <c r="E103" s="224" t="n"/>
      <c r="F103" s="225" t="n"/>
      <c r="G103" s="161" t="n"/>
      <c r="H103" s="226" t="n"/>
      <c r="I103" s="225" t="n"/>
      <c r="J103" s="224" t="n"/>
      <c r="K103" s="225" t="n"/>
      <c r="L103" s="176">
        <f>IF(G103="","",L102+IF(E103="pemasukan",G103,-G103))</f>
        <v/>
      </c>
    </row>
    <row r="104" ht="21.75" customHeight="1" s="124">
      <c r="B104" s="227">
        <f>IF(C104="","",ROW()-6)</f>
        <v/>
      </c>
      <c r="C104" s="228" t="n"/>
      <c r="D104" s="229" t="n"/>
      <c r="E104" s="229" t="n"/>
      <c r="F104" s="230" t="n"/>
      <c r="G104" s="163" t="n"/>
      <c r="H104" s="231" t="n"/>
      <c r="I104" s="230" t="n"/>
      <c r="J104" s="229" t="n"/>
      <c r="K104" s="230" t="n"/>
      <c r="L104" s="178">
        <f>IF(G104="","",L103+IF(E104="pemasukan",G104,-G104))</f>
        <v/>
      </c>
    </row>
    <row r="105" ht="21.75" customHeight="1" s="124">
      <c r="B105" s="171">
        <f>IF(C105="","",ROW()-6)</f>
        <v/>
      </c>
      <c r="C105" s="223" t="n"/>
      <c r="D105" s="224" t="n"/>
      <c r="E105" s="224" t="n"/>
      <c r="F105" s="225" t="n"/>
      <c r="G105" s="161" t="n"/>
      <c r="H105" s="226" t="n"/>
      <c r="I105" s="225" t="n"/>
      <c r="J105" s="224" t="n"/>
      <c r="K105" s="225" t="n"/>
      <c r="L105" s="176">
        <f>IF(G105="","",L104+IF(E105="pemasukan",G105,-G105))</f>
        <v/>
      </c>
    </row>
    <row r="106" ht="21.75" customHeight="1" s="124">
      <c r="B106" s="227">
        <f>IF(C106="","",ROW()-6)</f>
        <v/>
      </c>
      <c r="C106" s="228" t="n"/>
      <c r="D106" s="229" t="n"/>
      <c r="E106" s="229" t="n"/>
      <c r="F106" s="230" t="n"/>
      <c r="G106" s="163" t="n"/>
      <c r="H106" s="231" t="n"/>
      <c r="I106" s="230" t="n"/>
      <c r="J106" s="229" t="n"/>
      <c r="K106" s="230" t="n"/>
      <c r="L106" s="178">
        <f>IF(G106="","",L105+IF(E106="pemasukan",G106,-G106))</f>
        <v/>
      </c>
    </row>
    <row r="108" ht="27.75" customHeight="1" s="124">
      <c r="B108" s="209" t="inlineStr">
        <is>
          <t>TOTAL</t>
        </is>
      </c>
      <c r="C108" s="150" t="n"/>
      <c r="D108" s="150" t="n"/>
      <c r="E108" s="150" t="n"/>
      <c r="F108" s="151" t="n"/>
      <c r="G108" s="210">
        <f>SUMPRODUCT((E7:E106="pemasukan")*G7:G106)-SUMPRODUCT((E7:E106="pengeluaran")*G7:G106)</f>
        <v/>
      </c>
      <c r="H108" s="232" t="inlineStr">
        <is>
          <t>Net</t>
        </is>
      </c>
      <c r="I108" s="233" t="inlineStr">
        <is>
          <t>Saldo akhir →</t>
        </is>
      </c>
      <c r="J108" s="150" t="n"/>
      <c r="K108" s="150" t="n"/>
      <c r="L108" s="210">
        <f>L106</f>
        <v/>
      </c>
    </row>
    <row r="110" ht="15" customHeight="1" s="124">
      <c r="B110" s="145" t="inlineStr">
        <is>
          <t>Petunjuk Export: Tanggal=tanggal_transaksi, ID=id_project, Jenis=jenis_transaksi, Kategori=kategori_transaksi, Nominal=nominal, Wallet=wallet_key, Judul=judul_transaksi, Status=status_transaksi, Catatan=catatan. Order by tanggal_transaksi ASC.</t>
        </is>
      </c>
    </row>
  </sheetData>
  <mergeCells count="5">
    <mergeCell ref="B4:L4"/>
    <mergeCell ref="I108:K108"/>
    <mergeCell ref="B2:L2"/>
    <mergeCell ref="B108:F108"/>
    <mergeCell ref="B110:L110"/>
  </mergeCells>
  <conditionalFormatting sqref="E7:E106">
    <cfRule type="expression" rank="0" priority="2" equalAverage="0" aboveAverage="0" dxfId="2" text="" percent="0" bottom="0">
      <formula>$E7="pemasukan"</formula>
    </cfRule>
    <cfRule type="expression" rank="0" priority="3" equalAverage="0" aboveAverage="0" dxfId="0" text="" percent="0" bottom="0">
      <formula>$E7="pengeluaran"</formula>
    </cfRule>
  </conditionalFormatting>
  <conditionalFormatting sqref="H7:H106">
    <cfRule type="expression" rank="0" priority="4" equalAverage="0" aboveAverage="0" dxfId="4" text="" percent="0" bottom="0">
      <formula>$H7="utama"</formula>
    </cfRule>
    <cfRule type="expression" rank="0" priority="5" equalAverage="0" aboveAverage="0" dxfId="5" text="" percent="0" bottom="0">
      <formula>$H7="dokumen"</formula>
    </cfRule>
    <cfRule type="expression" rank="0" priority="6" equalAverage="0" aboveAverage="0" dxfId="6" text="" percent="0" bottom="0">
      <formula>$H7="renovasi"</formula>
    </cfRule>
    <cfRule type="expression" rank="0" priority="7" equalAverage="0" aboveAverage="0" dxfId="7" text="" percent="0" bottom="0">
      <formula>$H7="cadangan"</formula>
    </cfRule>
  </conditionalFormatting>
  <conditionalFormatting sqref="J7:J106">
    <cfRule type="expression" rank="0" priority="8" equalAverage="0" aboveAverage="0" dxfId="2" text="" percent="0" bottom="0">
      <formula>$J7="tercatat"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1"/>
  </sheetPr>
  <dimension ref="B2:I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5" customWidth="1" style="123" min="2" max="2"/>
    <col width="12" customWidth="1" style="123" min="3" max="4"/>
    <col width="18" customWidth="1" style="123" min="5" max="5"/>
    <col width="26" customWidth="1" style="123" min="6" max="6"/>
    <col width="16" customWidth="1" style="123" min="7" max="7"/>
    <col width="12" customWidth="1" style="123" min="8" max="8"/>
    <col width="24" customWidth="1" style="123" min="9" max="9"/>
    <col width="2" customWidth="1" style="123" min="10" max="10"/>
  </cols>
  <sheetData>
    <row r="1" ht="7.5" customHeight="1" s="124"/>
    <row r="2" ht="30" customHeight="1" s="124">
      <c r="B2" s="147" t="inlineStr">
        <is>
          <t>DOMPET UTAMA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  <c r="H3" s="129" t="n"/>
      <c r="I3" s="129" t="n"/>
    </row>
    <row r="5" ht="25.5" customHeight="1" s="124">
      <c r="B5" s="149" t="inlineStr">
        <is>
          <t>Anggaran</t>
        </is>
      </c>
      <c r="C5" s="150" t="n"/>
      <c r="D5" s="151" t="n"/>
      <c r="E5" s="234" t="n">
        <v>0</v>
      </c>
      <c r="G5" s="235" t="inlineStr">
        <is>
          <t>Sisa</t>
        </is>
      </c>
      <c r="H5" s="151" t="n"/>
      <c r="I5" s="236">
        <f>E5-E6</f>
        <v/>
      </c>
    </row>
    <row r="6" ht="30" customHeight="1" s="124">
      <c r="B6" s="237" t="inlineStr">
        <is>
          <t>Realisasi</t>
        </is>
      </c>
      <c r="C6" s="150" t="n"/>
      <c r="D6" s="151" t="n"/>
      <c r="E6" s="236">
        <f>SUMPRODUCT(('Cashflow Timeline'!H7:H106="utama")*('Cashflow Timeline'!E7:E106="pengeluaran")*'Cashflow Timeline'!G7:G106)</f>
        <v/>
      </c>
      <c r="G6" s="238" t="inlineStr">
        <is>
          <t>% Penyerapan</t>
        </is>
      </c>
      <c r="H6" s="151" t="n"/>
      <c r="I6" s="239">
        <f>IFERROR(E6/E5,0)</f>
        <v/>
      </c>
    </row>
    <row r="8" ht="30" customHeight="1" s="124">
      <c r="B8" s="240" t="inlineStr">
        <is>
          <t>Sumber Anggaran: Limit Lelang + Spare Bidding  •  Wallet Key: 'utama'  •  Realisasi otomatis dari Cashflow Timeline</t>
        </is>
      </c>
    </row>
    <row r="10" ht="24" customHeight="1" s="124">
      <c r="B10" s="148" t="inlineStr">
        <is>
          <t>▎ DETAIL TRANSAKSI (filter wallet)</t>
        </is>
      </c>
      <c r="C10" s="135" t="n"/>
      <c r="D10" s="135" t="n"/>
      <c r="E10" s="135" t="n"/>
      <c r="F10" s="135" t="n"/>
      <c r="G10" s="135" t="n"/>
      <c r="H10" s="135" t="n"/>
      <c r="I10" s="135" t="n"/>
    </row>
    <row r="11" ht="31.5" customHeight="1" s="124">
      <c r="B11" s="149" t="inlineStr">
        <is>
          <t>No.</t>
        </is>
      </c>
      <c r="C11" s="149" t="inlineStr">
        <is>
          <t>Tanggal</t>
        </is>
      </c>
      <c r="D11" s="149" t="inlineStr">
        <is>
          <t>Jenis</t>
        </is>
      </c>
      <c r="E11" s="149" t="inlineStr">
        <is>
          <t>Kategori</t>
        </is>
      </c>
      <c r="F11" s="149" t="inlineStr">
        <is>
          <t>Judul Transaksi</t>
        </is>
      </c>
      <c r="G11" s="149" t="inlineStr">
        <is>
          <t>Nominal (Rp)</t>
        </is>
      </c>
      <c r="H11" s="149" t="inlineStr">
        <is>
          <t>Status</t>
        </is>
      </c>
      <c r="I11" s="149" t="inlineStr">
        <is>
          <t>Catatan</t>
        </is>
      </c>
    </row>
    <row r="12" ht="21.75" customHeight="1" s="124">
      <c r="B12" s="171">
        <f>IF(C12="","",ROW()-11)</f>
        <v/>
      </c>
      <c r="C12" s="223" t="n"/>
      <c r="D12" s="224" t="n"/>
      <c r="E12" s="225" t="n"/>
      <c r="F12" s="225" t="n"/>
      <c r="G12" s="161" t="n"/>
      <c r="H12" s="224" t="n"/>
      <c r="I12" s="225" t="n"/>
    </row>
    <row r="13" ht="21.75" customHeight="1" s="124">
      <c r="B13" s="227">
        <f>IF(C13="","",ROW()-11)</f>
        <v/>
      </c>
      <c r="C13" s="228" t="n"/>
      <c r="D13" s="229" t="n"/>
      <c r="E13" s="230" t="n"/>
      <c r="F13" s="230" t="n"/>
      <c r="G13" s="163" t="n"/>
      <c r="H13" s="229" t="n"/>
      <c r="I13" s="230" t="n"/>
    </row>
    <row r="14" ht="21.75" customHeight="1" s="124">
      <c r="B14" s="171">
        <f>IF(C14="","",ROW()-11)</f>
        <v/>
      </c>
      <c r="C14" s="223" t="n"/>
      <c r="D14" s="224" t="n"/>
      <c r="E14" s="225" t="n"/>
      <c r="F14" s="225" t="n"/>
      <c r="G14" s="161" t="n"/>
      <c r="H14" s="224" t="n"/>
      <c r="I14" s="225" t="n"/>
    </row>
    <row r="15" ht="21.75" customHeight="1" s="124">
      <c r="B15" s="227">
        <f>IF(C15="","",ROW()-11)</f>
        <v/>
      </c>
      <c r="C15" s="228" t="n"/>
      <c r="D15" s="229" t="n"/>
      <c r="E15" s="230" t="n"/>
      <c r="F15" s="230" t="n"/>
      <c r="G15" s="163" t="n"/>
      <c r="H15" s="229" t="n"/>
      <c r="I15" s="230" t="n"/>
    </row>
    <row r="16" ht="21.75" customHeight="1" s="124">
      <c r="B16" s="171">
        <f>IF(C16="","",ROW()-11)</f>
        <v/>
      </c>
      <c r="C16" s="223" t="n"/>
      <c r="D16" s="224" t="n"/>
      <c r="E16" s="225" t="n"/>
      <c r="F16" s="225" t="n"/>
      <c r="G16" s="161" t="n"/>
      <c r="H16" s="224" t="n"/>
      <c r="I16" s="225" t="n"/>
    </row>
    <row r="17" ht="21.75" customHeight="1" s="124">
      <c r="B17" s="227">
        <f>IF(C17="","",ROW()-11)</f>
        <v/>
      </c>
      <c r="C17" s="228" t="n"/>
      <c r="D17" s="229" t="n"/>
      <c r="E17" s="230" t="n"/>
      <c r="F17" s="230" t="n"/>
      <c r="G17" s="163" t="n"/>
      <c r="H17" s="229" t="n"/>
      <c r="I17" s="230" t="n"/>
    </row>
    <row r="18" ht="21.75" customHeight="1" s="124">
      <c r="B18" s="171">
        <f>IF(C18="","",ROW()-11)</f>
        <v/>
      </c>
      <c r="C18" s="223" t="n"/>
      <c r="D18" s="224" t="n"/>
      <c r="E18" s="225" t="n"/>
      <c r="F18" s="225" t="n"/>
      <c r="G18" s="161" t="n"/>
      <c r="H18" s="224" t="n"/>
      <c r="I18" s="225" t="n"/>
    </row>
    <row r="19" ht="21.75" customHeight="1" s="124">
      <c r="B19" s="227">
        <f>IF(C19="","",ROW()-11)</f>
        <v/>
      </c>
      <c r="C19" s="228" t="n"/>
      <c r="D19" s="229" t="n"/>
      <c r="E19" s="230" t="n"/>
      <c r="F19" s="230" t="n"/>
      <c r="G19" s="163" t="n"/>
      <c r="H19" s="229" t="n"/>
      <c r="I19" s="230" t="n"/>
    </row>
    <row r="20" ht="21.75" customHeight="1" s="124">
      <c r="B20" s="171">
        <f>IF(C20="","",ROW()-11)</f>
        <v/>
      </c>
      <c r="C20" s="223" t="n"/>
      <c r="D20" s="224" t="n"/>
      <c r="E20" s="225" t="n"/>
      <c r="F20" s="225" t="n"/>
      <c r="G20" s="161" t="n"/>
      <c r="H20" s="224" t="n"/>
      <c r="I20" s="225" t="n"/>
    </row>
    <row r="21" ht="21.75" customHeight="1" s="124">
      <c r="B21" s="227">
        <f>IF(C21="","",ROW()-11)</f>
        <v/>
      </c>
      <c r="C21" s="228" t="n"/>
      <c r="D21" s="229" t="n"/>
      <c r="E21" s="230" t="n"/>
      <c r="F21" s="230" t="n"/>
      <c r="G21" s="163" t="n"/>
      <c r="H21" s="229" t="n"/>
      <c r="I21" s="230" t="n"/>
    </row>
    <row r="22" ht="21.75" customHeight="1" s="124">
      <c r="B22" s="171">
        <f>IF(C22="","",ROW()-11)</f>
        <v/>
      </c>
      <c r="C22" s="223" t="n"/>
      <c r="D22" s="224" t="n"/>
      <c r="E22" s="225" t="n"/>
      <c r="F22" s="225" t="n"/>
      <c r="G22" s="161" t="n"/>
      <c r="H22" s="224" t="n"/>
      <c r="I22" s="225" t="n"/>
    </row>
    <row r="23" ht="21.75" customHeight="1" s="124">
      <c r="B23" s="227">
        <f>IF(C23="","",ROW()-11)</f>
        <v/>
      </c>
      <c r="C23" s="228" t="n"/>
      <c r="D23" s="229" t="n"/>
      <c r="E23" s="230" t="n"/>
      <c r="F23" s="230" t="n"/>
      <c r="G23" s="163" t="n"/>
      <c r="H23" s="229" t="n"/>
      <c r="I23" s="230" t="n"/>
    </row>
    <row r="24" ht="21.75" customHeight="1" s="124">
      <c r="B24" s="171">
        <f>IF(C24="","",ROW()-11)</f>
        <v/>
      </c>
      <c r="C24" s="223" t="n"/>
      <c r="D24" s="224" t="n"/>
      <c r="E24" s="225" t="n"/>
      <c r="F24" s="225" t="n"/>
      <c r="G24" s="161" t="n"/>
      <c r="H24" s="224" t="n"/>
      <c r="I24" s="225" t="n"/>
    </row>
    <row r="25" ht="21.75" customHeight="1" s="124">
      <c r="B25" s="227">
        <f>IF(C25="","",ROW()-11)</f>
        <v/>
      </c>
      <c r="C25" s="228" t="n"/>
      <c r="D25" s="229" t="n"/>
      <c r="E25" s="230" t="n"/>
      <c r="F25" s="230" t="n"/>
      <c r="G25" s="163" t="n"/>
      <c r="H25" s="229" t="n"/>
      <c r="I25" s="230" t="n"/>
    </row>
    <row r="26" ht="21.75" customHeight="1" s="124">
      <c r="B26" s="171">
        <f>IF(C26="","",ROW()-11)</f>
        <v/>
      </c>
      <c r="C26" s="223" t="n"/>
      <c r="D26" s="224" t="n"/>
      <c r="E26" s="225" t="n"/>
      <c r="F26" s="225" t="n"/>
      <c r="G26" s="161" t="n"/>
      <c r="H26" s="224" t="n"/>
      <c r="I26" s="225" t="n"/>
    </row>
    <row r="27" ht="21.75" customHeight="1" s="124">
      <c r="B27" s="227">
        <f>IF(C27="","",ROW()-11)</f>
        <v/>
      </c>
      <c r="C27" s="228" t="n"/>
      <c r="D27" s="229" t="n"/>
      <c r="E27" s="230" t="n"/>
      <c r="F27" s="230" t="n"/>
      <c r="G27" s="163" t="n"/>
      <c r="H27" s="229" t="n"/>
      <c r="I27" s="230" t="n"/>
    </row>
    <row r="28" ht="21.75" customHeight="1" s="124">
      <c r="B28" s="171">
        <f>IF(C28="","",ROW()-11)</f>
        <v/>
      </c>
      <c r="C28" s="223" t="n"/>
      <c r="D28" s="224" t="n"/>
      <c r="E28" s="225" t="n"/>
      <c r="F28" s="225" t="n"/>
      <c r="G28" s="161" t="n"/>
      <c r="H28" s="224" t="n"/>
      <c r="I28" s="225" t="n"/>
    </row>
    <row r="29" ht="21.75" customHeight="1" s="124">
      <c r="B29" s="227">
        <f>IF(C29="","",ROW()-11)</f>
        <v/>
      </c>
      <c r="C29" s="228" t="n"/>
      <c r="D29" s="229" t="n"/>
      <c r="E29" s="230" t="n"/>
      <c r="F29" s="230" t="n"/>
      <c r="G29" s="163" t="n"/>
      <c r="H29" s="229" t="n"/>
      <c r="I29" s="230" t="n"/>
    </row>
    <row r="30" ht="21.75" customHeight="1" s="124">
      <c r="B30" s="171">
        <f>IF(C30="","",ROW()-11)</f>
        <v/>
      </c>
      <c r="C30" s="223" t="n"/>
      <c r="D30" s="224" t="n"/>
      <c r="E30" s="225" t="n"/>
      <c r="F30" s="225" t="n"/>
      <c r="G30" s="161" t="n"/>
      <c r="H30" s="224" t="n"/>
      <c r="I30" s="225" t="n"/>
    </row>
    <row r="31" ht="21.75" customHeight="1" s="124">
      <c r="B31" s="227">
        <f>IF(C31="","",ROW()-11)</f>
        <v/>
      </c>
      <c r="C31" s="228" t="n"/>
      <c r="D31" s="229" t="n"/>
      <c r="E31" s="230" t="n"/>
      <c r="F31" s="230" t="n"/>
      <c r="G31" s="163" t="n"/>
      <c r="H31" s="229" t="n"/>
      <c r="I31" s="230" t="n"/>
    </row>
    <row r="32" ht="21.75" customHeight="1" s="124">
      <c r="B32" s="171">
        <f>IF(C32="","",ROW()-11)</f>
        <v/>
      </c>
      <c r="C32" s="223" t="n"/>
      <c r="D32" s="224" t="n"/>
      <c r="E32" s="225" t="n"/>
      <c r="F32" s="225" t="n"/>
      <c r="G32" s="161" t="n"/>
      <c r="H32" s="224" t="n"/>
      <c r="I32" s="225" t="n"/>
    </row>
    <row r="33" ht="21.75" customHeight="1" s="124">
      <c r="B33" s="227">
        <f>IF(C33="","",ROW()-11)</f>
        <v/>
      </c>
      <c r="C33" s="228" t="n"/>
      <c r="D33" s="229" t="n"/>
      <c r="E33" s="230" t="n"/>
      <c r="F33" s="230" t="n"/>
      <c r="G33" s="163" t="n"/>
      <c r="H33" s="229" t="n"/>
      <c r="I33" s="230" t="n"/>
    </row>
    <row r="34" ht="21.75" customHeight="1" s="124">
      <c r="B34" s="171">
        <f>IF(C34="","",ROW()-11)</f>
        <v/>
      </c>
      <c r="C34" s="223" t="n"/>
      <c r="D34" s="224" t="n"/>
      <c r="E34" s="225" t="n"/>
      <c r="F34" s="225" t="n"/>
      <c r="G34" s="161" t="n"/>
      <c r="H34" s="224" t="n"/>
      <c r="I34" s="225" t="n"/>
    </row>
    <row r="35" ht="21.75" customHeight="1" s="124">
      <c r="B35" s="227">
        <f>IF(C35="","",ROW()-11)</f>
        <v/>
      </c>
      <c r="C35" s="228" t="n"/>
      <c r="D35" s="229" t="n"/>
      <c r="E35" s="230" t="n"/>
      <c r="F35" s="230" t="n"/>
      <c r="G35" s="163" t="n"/>
      <c r="H35" s="229" t="n"/>
      <c r="I35" s="230" t="n"/>
    </row>
    <row r="36" ht="21.75" customHeight="1" s="124">
      <c r="B36" s="171">
        <f>IF(C36="","",ROW()-11)</f>
        <v/>
      </c>
      <c r="C36" s="223" t="n"/>
      <c r="D36" s="224" t="n"/>
      <c r="E36" s="225" t="n"/>
      <c r="F36" s="225" t="n"/>
      <c r="G36" s="161" t="n"/>
      <c r="H36" s="224" t="n"/>
      <c r="I36" s="225" t="n"/>
    </row>
    <row r="37" ht="21.75" customHeight="1" s="124">
      <c r="B37" s="227">
        <f>IF(C37="","",ROW()-11)</f>
        <v/>
      </c>
      <c r="C37" s="228" t="n"/>
      <c r="D37" s="229" t="n"/>
      <c r="E37" s="230" t="n"/>
      <c r="F37" s="230" t="n"/>
      <c r="G37" s="163" t="n"/>
      <c r="H37" s="229" t="n"/>
      <c r="I37" s="230" t="n"/>
    </row>
    <row r="38" ht="21.75" customHeight="1" s="124">
      <c r="B38" s="171">
        <f>IF(C38="","",ROW()-11)</f>
        <v/>
      </c>
      <c r="C38" s="223" t="n"/>
      <c r="D38" s="224" t="n"/>
      <c r="E38" s="225" t="n"/>
      <c r="F38" s="225" t="n"/>
      <c r="G38" s="161" t="n"/>
      <c r="H38" s="224" t="n"/>
      <c r="I38" s="225" t="n"/>
    </row>
    <row r="39" ht="21.75" customHeight="1" s="124">
      <c r="B39" s="227">
        <f>IF(C39="","",ROW()-11)</f>
        <v/>
      </c>
      <c r="C39" s="228" t="n"/>
      <c r="D39" s="229" t="n"/>
      <c r="E39" s="230" t="n"/>
      <c r="F39" s="230" t="n"/>
      <c r="G39" s="163" t="n"/>
      <c r="H39" s="229" t="n"/>
      <c r="I39" s="230" t="n"/>
    </row>
    <row r="40" ht="21.75" customHeight="1" s="124">
      <c r="B40" s="171">
        <f>IF(C40="","",ROW()-11)</f>
        <v/>
      </c>
      <c r="C40" s="223" t="n"/>
      <c r="D40" s="224" t="n"/>
      <c r="E40" s="225" t="n"/>
      <c r="F40" s="225" t="n"/>
      <c r="G40" s="161" t="n"/>
      <c r="H40" s="224" t="n"/>
      <c r="I40" s="225" t="n"/>
    </row>
    <row r="41" ht="21.75" customHeight="1" s="124">
      <c r="B41" s="227">
        <f>IF(C41="","",ROW()-11)</f>
        <v/>
      </c>
      <c r="C41" s="228" t="n"/>
      <c r="D41" s="229" t="n"/>
      <c r="E41" s="230" t="n"/>
      <c r="F41" s="230" t="n"/>
      <c r="G41" s="163" t="n"/>
      <c r="H41" s="229" t="n"/>
      <c r="I41" s="230" t="n"/>
    </row>
    <row r="42" ht="21.75" customHeight="1" s="124">
      <c r="B42" s="171">
        <f>IF(C42="","",ROW()-11)</f>
        <v/>
      </c>
      <c r="C42" s="223" t="n"/>
      <c r="D42" s="224" t="n"/>
      <c r="E42" s="225" t="n"/>
      <c r="F42" s="225" t="n"/>
      <c r="G42" s="161" t="n"/>
      <c r="H42" s="224" t="n"/>
      <c r="I42" s="225" t="n"/>
    </row>
    <row r="43" ht="21.75" customHeight="1" s="124">
      <c r="B43" s="227">
        <f>IF(C43="","",ROW()-11)</f>
        <v/>
      </c>
      <c r="C43" s="228" t="n"/>
      <c r="D43" s="229" t="n"/>
      <c r="E43" s="230" t="n"/>
      <c r="F43" s="230" t="n"/>
      <c r="G43" s="163" t="n"/>
      <c r="H43" s="229" t="n"/>
      <c r="I43" s="230" t="n"/>
    </row>
    <row r="44" ht="21.75" customHeight="1" s="124">
      <c r="B44" s="171">
        <f>IF(C44="","",ROW()-11)</f>
        <v/>
      </c>
      <c r="C44" s="223" t="n"/>
      <c r="D44" s="224" t="n"/>
      <c r="E44" s="225" t="n"/>
      <c r="F44" s="225" t="n"/>
      <c r="G44" s="161" t="n"/>
      <c r="H44" s="224" t="n"/>
      <c r="I44" s="225" t="n"/>
    </row>
    <row r="45" ht="21.75" customHeight="1" s="124">
      <c r="B45" s="227">
        <f>IF(C45="","",ROW()-11)</f>
        <v/>
      </c>
      <c r="C45" s="228" t="n"/>
      <c r="D45" s="229" t="n"/>
      <c r="E45" s="230" t="n"/>
      <c r="F45" s="230" t="n"/>
      <c r="G45" s="163" t="n"/>
      <c r="H45" s="229" t="n"/>
      <c r="I45" s="230" t="n"/>
    </row>
    <row r="46" ht="21.75" customHeight="1" s="124">
      <c r="B46" s="171">
        <f>IF(C46="","",ROW()-11)</f>
        <v/>
      </c>
      <c r="C46" s="223" t="n"/>
      <c r="D46" s="224" t="n"/>
      <c r="E46" s="225" t="n"/>
      <c r="F46" s="225" t="n"/>
      <c r="G46" s="161" t="n"/>
      <c r="H46" s="224" t="n"/>
      <c r="I46" s="225" t="n"/>
    </row>
    <row r="47" ht="21.75" customHeight="1" s="124">
      <c r="B47" s="227">
        <f>IF(C47="","",ROW()-11)</f>
        <v/>
      </c>
      <c r="C47" s="228" t="n"/>
      <c r="D47" s="229" t="n"/>
      <c r="E47" s="230" t="n"/>
      <c r="F47" s="230" t="n"/>
      <c r="G47" s="163" t="n"/>
      <c r="H47" s="229" t="n"/>
      <c r="I47" s="230" t="n"/>
    </row>
    <row r="48" ht="21.75" customHeight="1" s="124">
      <c r="B48" s="171">
        <f>IF(C48="","",ROW()-11)</f>
        <v/>
      </c>
      <c r="C48" s="223" t="n"/>
      <c r="D48" s="224" t="n"/>
      <c r="E48" s="225" t="n"/>
      <c r="F48" s="225" t="n"/>
      <c r="G48" s="161" t="n"/>
      <c r="H48" s="224" t="n"/>
      <c r="I48" s="225" t="n"/>
    </row>
    <row r="49" ht="21.75" customHeight="1" s="124">
      <c r="B49" s="227">
        <f>IF(C49="","",ROW()-11)</f>
        <v/>
      </c>
      <c r="C49" s="228" t="n"/>
      <c r="D49" s="229" t="n"/>
      <c r="E49" s="230" t="n"/>
      <c r="F49" s="230" t="n"/>
      <c r="G49" s="163" t="n"/>
      <c r="H49" s="229" t="n"/>
      <c r="I49" s="230" t="n"/>
    </row>
    <row r="50" ht="21.75" customHeight="1" s="124">
      <c r="B50" s="171">
        <f>IF(C50="","",ROW()-11)</f>
        <v/>
      </c>
      <c r="C50" s="223" t="n"/>
      <c r="D50" s="224" t="n"/>
      <c r="E50" s="225" t="n"/>
      <c r="F50" s="225" t="n"/>
      <c r="G50" s="161" t="n"/>
      <c r="H50" s="224" t="n"/>
      <c r="I50" s="225" t="n"/>
    </row>
    <row r="51" ht="21.75" customHeight="1" s="124">
      <c r="B51" s="227">
        <f>IF(C51="","",ROW()-11)</f>
        <v/>
      </c>
      <c r="C51" s="228" t="n"/>
      <c r="D51" s="229" t="n"/>
      <c r="E51" s="230" t="n"/>
      <c r="F51" s="230" t="n"/>
      <c r="G51" s="163" t="n"/>
      <c r="H51" s="229" t="n"/>
      <c r="I51" s="230" t="n"/>
    </row>
    <row r="52" ht="21.75" customHeight="1" s="124">
      <c r="B52" s="171">
        <f>IF(C52="","",ROW()-11)</f>
        <v/>
      </c>
      <c r="C52" s="223" t="n"/>
      <c r="D52" s="224" t="n"/>
      <c r="E52" s="225" t="n"/>
      <c r="F52" s="225" t="n"/>
      <c r="G52" s="161" t="n"/>
      <c r="H52" s="224" t="n"/>
      <c r="I52" s="225" t="n"/>
    </row>
    <row r="53" ht="21.75" customHeight="1" s="124">
      <c r="B53" s="227">
        <f>IF(C53="","",ROW()-11)</f>
        <v/>
      </c>
      <c r="C53" s="228" t="n"/>
      <c r="D53" s="229" t="n"/>
      <c r="E53" s="230" t="n"/>
      <c r="F53" s="230" t="n"/>
      <c r="G53" s="163" t="n"/>
      <c r="H53" s="229" t="n"/>
      <c r="I53" s="230" t="n"/>
    </row>
    <row r="54" ht="21.75" customHeight="1" s="124">
      <c r="B54" s="171">
        <f>IF(C54="","",ROW()-11)</f>
        <v/>
      </c>
      <c r="C54" s="223" t="n"/>
      <c r="D54" s="224" t="n"/>
      <c r="E54" s="225" t="n"/>
      <c r="F54" s="225" t="n"/>
      <c r="G54" s="161" t="n"/>
      <c r="H54" s="224" t="n"/>
      <c r="I54" s="225" t="n"/>
    </row>
    <row r="55" ht="21.75" customHeight="1" s="124">
      <c r="B55" s="227">
        <f>IF(C55="","",ROW()-11)</f>
        <v/>
      </c>
      <c r="C55" s="228" t="n"/>
      <c r="D55" s="229" t="n"/>
      <c r="E55" s="230" t="n"/>
      <c r="F55" s="230" t="n"/>
      <c r="G55" s="163" t="n"/>
      <c r="H55" s="229" t="n"/>
      <c r="I55" s="230" t="n"/>
    </row>
    <row r="56" ht="21.75" customHeight="1" s="124">
      <c r="B56" s="171">
        <f>IF(C56="","",ROW()-11)</f>
        <v/>
      </c>
      <c r="C56" s="223" t="n"/>
      <c r="D56" s="224" t="n"/>
      <c r="E56" s="225" t="n"/>
      <c r="F56" s="225" t="n"/>
      <c r="G56" s="161" t="n"/>
      <c r="H56" s="224" t="n"/>
      <c r="I56" s="225" t="n"/>
    </row>
    <row r="57" ht="21.75" customHeight="1" s="124">
      <c r="B57" s="227">
        <f>IF(C57="","",ROW()-11)</f>
        <v/>
      </c>
      <c r="C57" s="228" t="n"/>
      <c r="D57" s="229" t="n"/>
      <c r="E57" s="230" t="n"/>
      <c r="F57" s="230" t="n"/>
      <c r="G57" s="163" t="n"/>
      <c r="H57" s="229" t="n"/>
      <c r="I57" s="230" t="n"/>
    </row>
    <row r="58" ht="21.75" customHeight="1" s="124">
      <c r="B58" s="171">
        <f>IF(C58="","",ROW()-11)</f>
        <v/>
      </c>
      <c r="C58" s="223" t="n"/>
      <c r="D58" s="224" t="n"/>
      <c r="E58" s="225" t="n"/>
      <c r="F58" s="225" t="n"/>
      <c r="G58" s="161" t="n"/>
      <c r="H58" s="224" t="n"/>
      <c r="I58" s="225" t="n"/>
    </row>
    <row r="59" ht="21.75" customHeight="1" s="124">
      <c r="B59" s="227">
        <f>IF(C59="","",ROW()-11)</f>
        <v/>
      </c>
      <c r="C59" s="228" t="n"/>
      <c r="D59" s="229" t="n"/>
      <c r="E59" s="230" t="n"/>
      <c r="F59" s="230" t="n"/>
      <c r="G59" s="163" t="n"/>
      <c r="H59" s="229" t="n"/>
      <c r="I59" s="230" t="n"/>
    </row>
    <row r="60" ht="21.75" customHeight="1" s="124">
      <c r="B60" s="171">
        <f>IF(C60="","",ROW()-11)</f>
        <v/>
      </c>
      <c r="C60" s="223" t="n"/>
      <c r="D60" s="224" t="n"/>
      <c r="E60" s="225" t="n"/>
      <c r="F60" s="225" t="n"/>
      <c r="G60" s="161" t="n"/>
      <c r="H60" s="224" t="n"/>
      <c r="I60" s="225" t="n"/>
    </row>
    <row r="61" ht="21.75" customHeight="1" s="124">
      <c r="B61" s="227">
        <f>IF(C61="","",ROW()-11)</f>
        <v/>
      </c>
      <c r="C61" s="228" t="n"/>
      <c r="D61" s="229" t="n"/>
      <c r="E61" s="230" t="n"/>
      <c r="F61" s="230" t="n"/>
      <c r="G61" s="163" t="n"/>
      <c r="H61" s="229" t="n"/>
      <c r="I61" s="230" t="n"/>
    </row>
    <row r="62" ht="30" customHeight="1" s="124">
      <c r="B62" s="209" t="inlineStr">
        <is>
          <t>SUBTOTAL PENGELUARAN</t>
        </is>
      </c>
      <c r="C62" s="150" t="n"/>
      <c r="D62" s="150" t="n"/>
      <c r="E62" s="150" t="n"/>
      <c r="F62" s="151" t="n"/>
      <c r="G62" s="210">
        <f>SUMIFS(G12:G61,D12:D61,"pengeluaran")</f>
        <v/>
      </c>
      <c r="H62" s="241" t="n"/>
      <c r="I62" s="151" t="n"/>
    </row>
    <row r="64" ht="15" customHeight="1" s="124">
      <c r="B64" s="145" t="inlineStr">
        <is>
          <t>Catatan: Sel BIRU = data dari project_arus_kas WHERE wallet_key='utama'. Realisasi di KPI atas dihitung otomatis dari Cashflow Timeline.</t>
        </is>
      </c>
    </row>
  </sheetData>
  <mergeCells count="10">
    <mergeCell ref="B5:D5"/>
    <mergeCell ref="B64:I64"/>
    <mergeCell ref="B62:F62"/>
    <mergeCell ref="B6:D6"/>
    <mergeCell ref="H62:I62"/>
    <mergeCell ref="B2:I2"/>
    <mergeCell ref="B10:I10"/>
    <mergeCell ref="G5:H5"/>
    <mergeCell ref="G6:H6"/>
    <mergeCell ref="B8:I8"/>
  </mergeCells>
  <conditionalFormatting sqref="D12:D61">
    <cfRule type="expression" rank="0" priority="2" equalAverage="0" aboveAverage="0" dxfId="2" text="" percent="0" bottom="0">
      <formula>$D12="pemasukan"</formula>
    </cfRule>
    <cfRule type="expression" rank="0" priority="3" equalAverage="0" aboveAverage="0" dxfId="0" text="" percent="0" bottom="0">
      <formula>$D12="pengeluaran"</formula>
    </cfRule>
  </conditionalFormatting>
  <conditionalFormatting sqref="G12:G61">
    <cfRule type="cellIs" rank="0" priority="4" equalAverage="0" operator="greaterThan" aboveAverage="0" dxfId="3" text="" percent="0" bottom="0">
      <formula>E$5*0.2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2E75B6"/>
    <outlinePr summaryBelow="1" summaryRight="1"/>
    <pageSetUpPr fitToPage="1"/>
  </sheetPr>
  <dimension ref="B2:I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5" customWidth="1" style="123" min="2" max="2"/>
    <col width="12" customWidth="1" style="123" min="3" max="4"/>
    <col width="18" customWidth="1" style="123" min="5" max="5"/>
    <col width="26" customWidth="1" style="123" min="6" max="6"/>
    <col width="16" customWidth="1" style="123" min="7" max="7"/>
    <col width="12" customWidth="1" style="123" min="8" max="8"/>
    <col width="24" customWidth="1" style="123" min="9" max="9"/>
    <col width="2" customWidth="1" style="123" min="10" max="10"/>
  </cols>
  <sheetData>
    <row r="1" ht="7.5" customHeight="1" s="124"/>
    <row r="2" ht="30" customHeight="1" s="124">
      <c r="B2" s="242" t="inlineStr">
        <is>
          <t>DOMPET DOKUMEN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  <c r="H3" s="129" t="n"/>
      <c r="I3" s="129" t="n"/>
    </row>
    <row r="5" ht="25.5" customHeight="1" s="124">
      <c r="B5" s="149" t="inlineStr">
        <is>
          <t>Anggaran</t>
        </is>
      </c>
      <c r="C5" s="150" t="n"/>
      <c r="D5" s="151" t="n"/>
      <c r="E5" s="234" t="n">
        <v>0</v>
      </c>
      <c r="G5" s="235" t="inlineStr">
        <is>
          <t>Sisa</t>
        </is>
      </c>
      <c r="H5" s="151" t="n"/>
      <c r="I5" s="236">
        <f>E5-E6</f>
        <v/>
      </c>
    </row>
    <row r="6" ht="30" customHeight="1" s="124">
      <c r="B6" s="237" t="inlineStr">
        <is>
          <t>Realisasi</t>
        </is>
      </c>
      <c r="C6" s="150" t="n"/>
      <c r="D6" s="151" t="n"/>
      <c r="E6" s="236">
        <f>SUMPRODUCT(('Cashflow Timeline'!H7:H106="dokumen")*('Cashflow Timeline'!E7:E106="pengeluaran")*'Cashflow Timeline'!G7:G106)</f>
        <v/>
      </c>
      <c r="G6" s="238" t="inlineStr">
        <is>
          <t>% Penyerapan</t>
        </is>
      </c>
      <c r="H6" s="151" t="n"/>
      <c r="I6" s="239">
        <f>IFERROR(E6/E5,0)</f>
        <v/>
      </c>
    </row>
    <row r="8" ht="30" customHeight="1" s="124">
      <c r="B8" s="240" t="inlineStr">
        <is>
          <t>Sumber Anggaran: Biaya Balik Nama (Notaris, BPN, Pajak)  •  Wallet Key: 'dokumen'  •  Realisasi otomatis dari Cashflow Timeline</t>
        </is>
      </c>
    </row>
    <row r="10" ht="24" customHeight="1" s="124">
      <c r="B10" s="148" t="inlineStr">
        <is>
          <t>▎ DETAIL TRANSAKSI (filter wallet)</t>
        </is>
      </c>
      <c r="C10" s="135" t="n"/>
      <c r="D10" s="135" t="n"/>
      <c r="E10" s="135" t="n"/>
      <c r="F10" s="135" t="n"/>
      <c r="G10" s="135" t="n"/>
      <c r="H10" s="135" t="n"/>
      <c r="I10" s="135" t="n"/>
    </row>
    <row r="11" ht="31.5" customHeight="1" s="124">
      <c r="B11" s="243" t="inlineStr">
        <is>
          <t>No.</t>
        </is>
      </c>
      <c r="C11" s="243" t="inlineStr">
        <is>
          <t>Tanggal</t>
        </is>
      </c>
      <c r="D11" s="243" t="inlineStr">
        <is>
          <t>Jenis</t>
        </is>
      </c>
      <c r="E11" s="243" t="inlineStr">
        <is>
          <t>Kategori</t>
        </is>
      </c>
      <c r="F11" s="243" t="inlineStr">
        <is>
          <t>Judul Transaksi</t>
        </is>
      </c>
      <c r="G11" s="243" t="inlineStr">
        <is>
          <t>Nominal (Rp)</t>
        </is>
      </c>
      <c r="H11" s="243" t="inlineStr">
        <is>
          <t>Status</t>
        </is>
      </c>
      <c r="I11" s="243" t="inlineStr">
        <is>
          <t>Catatan</t>
        </is>
      </c>
    </row>
    <row r="12" ht="21.75" customHeight="1" s="124">
      <c r="B12" s="171">
        <f>IF(C12="","",ROW()-11)</f>
        <v/>
      </c>
      <c r="C12" s="223" t="n"/>
      <c r="D12" s="224" t="n"/>
      <c r="E12" s="225" t="n"/>
      <c r="F12" s="225" t="n"/>
      <c r="G12" s="161" t="n"/>
      <c r="H12" s="224" t="n"/>
      <c r="I12" s="225" t="n"/>
    </row>
    <row r="13" ht="21.75" customHeight="1" s="124">
      <c r="B13" s="227">
        <f>IF(C13="","",ROW()-11)</f>
        <v/>
      </c>
      <c r="C13" s="228" t="n"/>
      <c r="D13" s="229" t="n"/>
      <c r="E13" s="230" t="n"/>
      <c r="F13" s="230" t="n"/>
      <c r="G13" s="163" t="n"/>
      <c r="H13" s="229" t="n"/>
      <c r="I13" s="230" t="n"/>
    </row>
    <row r="14" ht="21.75" customHeight="1" s="124">
      <c r="B14" s="171">
        <f>IF(C14="","",ROW()-11)</f>
        <v/>
      </c>
      <c r="C14" s="223" t="n"/>
      <c r="D14" s="224" t="n"/>
      <c r="E14" s="225" t="n"/>
      <c r="F14" s="225" t="n"/>
      <c r="G14" s="161" t="n"/>
      <c r="H14" s="224" t="n"/>
      <c r="I14" s="225" t="n"/>
    </row>
    <row r="15" ht="21.75" customHeight="1" s="124">
      <c r="B15" s="227">
        <f>IF(C15="","",ROW()-11)</f>
        <v/>
      </c>
      <c r="C15" s="228" t="n"/>
      <c r="D15" s="229" t="n"/>
      <c r="E15" s="230" t="n"/>
      <c r="F15" s="230" t="n"/>
      <c r="G15" s="163" t="n"/>
      <c r="H15" s="229" t="n"/>
      <c r="I15" s="230" t="n"/>
    </row>
    <row r="16" ht="21.75" customHeight="1" s="124">
      <c r="B16" s="171">
        <f>IF(C16="","",ROW()-11)</f>
        <v/>
      </c>
      <c r="C16" s="223" t="n"/>
      <c r="D16" s="224" t="n"/>
      <c r="E16" s="225" t="n"/>
      <c r="F16" s="225" t="n"/>
      <c r="G16" s="161" t="n"/>
      <c r="H16" s="224" t="n"/>
      <c r="I16" s="225" t="n"/>
    </row>
    <row r="17" ht="21.75" customHeight="1" s="124">
      <c r="B17" s="227">
        <f>IF(C17="","",ROW()-11)</f>
        <v/>
      </c>
      <c r="C17" s="228" t="n"/>
      <c r="D17" s="229" t="n"/>
      <c r="E17" s="230" t="n"/>
      <c r="F17" s="230" t="n"/>
      <c r="G17" s="163" t="n"/>
      <c r="H17" s="229" t="n"/>
      <c r="I17" s="230" t="n"/>
    </row>
    <row r="18" ht="21.75" customHeight="1" s="124">
      <c r="B18" s="171">
        <f>IF(C18="","",ROW()-11)</f>
        <v/>
      </c>
      <c r="C18" s="223" t="n"/>
      <c r="D18" s="224" t="n"/>
      <c r="E18" s="225" t="n"/>
      <c r="F18" s="225" t="n"/>
      <c r="G18" s="161" t="n"/>
      <c r="H18" s="224" t="n"/>
      <c r="I18" s="225" t="n"/>
    </row>
    <row r="19" ht="21.75" customHeight="1" s="124">
      <c r="B19" s="227">
        <f>IF(C19="","",ROW()-11)</f>
        <v/>
      </c>
      <c r="C19" s="228" t="n"/>
      <c r="D19" s="229" t="n"/>
      <c r="E19" s="230" t="n"/>
      <c r="F19" s="230" t="n"/>
      <c r="G19" s="163" t="n"/>
      <c r="H19" s="229" t="n"/>
      <c r="I19" s="230" t="n"/>
    </row>
    <row r="20" ht="21.75" customHeight="1" s="124">
      <c r="B20" s="171">
        <f>IF(C20="","",ROW()-11)</f>
        <v/>
      </c>
      <c r="C20" s="223" t="n"/>
      <c r="D20" s="224" t="n"/>
      <c r="E20" s="225" t="n"/>
      <c r="F20" s="225" t="n"/>
      <c r="G20" s="161" t="n"/>
      <c r="H20" s="224" t="n"/>
      <c r="I20" s="225" t="n"/>
    </row>
    <row r="21" ht="21.75" customHeight="1" s="124">
      <c r="B21" s="227">
        <f>IF(C21="","",ROW()-11)</f>
        <v/>
      </c>
      <c r="C21" s="228" t="n"/>
      <c r="D21" s="229" t="n"/>
      <c r="E21" s="230" t="n"/>
      <c r="F21" s="230" t="n"/>
      <c r="G21" s="163" t="n"/>
      <c r="H21" s="229" t="n"/>
      <c r="I21" s="230" t="n"/>
    </row>
    <row r="22" ht="21.75" customHeight="1" s="124">
      <c r="B22" s="171">
        <f>IF(C22="","",ROW()-11)</f>
        <v/>
      </c>
      <c r="C22" s="223" t="n"/>
      <c r="D22" s="224" t="n"/>
      <c r="E22" s="225" t="n"/>
      <c r="F22" s="225" t="n"/>
      <c r="G22" s="161" t="n"/>
      <c r="H22" s="224" t="n"/>
      <c r="I22" s="225" t="n"/>
    </row>
    <row r="23" ht="21.75" customHeight="1" s="124">
      <c r="B23" s="227">
        <f>IF(C23="","",ROW()-11)</f>
        <v/>
      </c>
      <c r="C23" s="228" t="n"/>
      <c r="D23" s="229" t="n"/>
      <c r="E23" s="230" t="n"/>
      <c r="F23" s="230" t="n"/>
      <c r="G23" s="163" t="n"/>
      <c r="H23" s="229" t="n"/>
      <c r="I23" s="230" t="n"/>
    </row>
    <row r="24" ht="21.75" customHeight="1" s="124">
      <c r="B24" s="171">
        <f>IF(C24="","",ROW()-11)</f>
        <v/>
      </c>
      <c r="C24" s="223" t="n"/>
      <c r="D24" s="224" t="n"/>
      <c r="E24" s="225" t="n"/>
      <c r="F24" s="225" t="n"/>
      <c r="G24" s="161" t="n"/>
      <c r="H24" s="224" t="n"/>
      <c r="I24" s="225" t="n"/>
    </row>
    <row r="25" ht="21.75" customHeight="1" s="124">
      <c r="B25" s="227">
        <f>IF(C25="","",ROW()-11)</f>
        <v/>
      </c>
      <c r="C25" s="228" t="n"/>
      <c r="D25" s="229" t="n"/>
      <c r="E25" s="230" t="n"/>
      <c r="F25" s="230" t="n"/>
      <c r="G25" s="163" t="n"/>
      <c r="H25" s="229" t="n"/>
      <c r="I25" s="230" t="n"/>
    </row>
    <row r="26" ht="21.75" customHeight="1" s="124">
      <c r="B26" s="171">
        <f>IF(C26="","",ROW()-11)</f>
        <v/>
      </c>
      <c r="C26" s="223" t="n"/>
      <c r="D26" s="224" t="n"/>
      <c r="E26" s="225" t="n"/>
      <c r="F26" s="225" t="n"/>
      <c r="G26" s="161" t="n"/>
      <c r="H26" s="224" t="n"/>
      <c r="I26" s="225" t="n"/>
    </row>
    <row r="27" ht="21.75" customHeight="1" s="124">
      <c r="B27" s="227">
        <f>IF(C27="","",ROW()-11)</f>
        <v/>
      </c>
      <c r="C27" s="228" t="n"/>
      <c r="D27" s="229" t="n"/>
      <c r="E27" s="230" t="n"/>
      <c r="F27" s="230" t="n"/>
      <c r="G27" s="163" t="n"/>
      <c r="H27" s="229" t="n"/>
      <c r="I27" s="230" t="n"/>
    </row>
    <row r="28" ht="21.75" customHeight="1" s="124">
      <c r="B28" s="171">
        <f>IF(C28="","",ROW()-11)</f>
        <v/>
      </c>
      <c r="C28" s="223" t="n"/>
      <c r="D28" s="224" t="n"/>
      <c r="E28" s="225" t="n"/>
      <c r="F28" s="225" t="n"/>
      <c r="G28" s="161" t="n"/>
      <c r="H28" s="224" t="n"/>
      <c r="I28" s="225" t="n"/>
    </row>
    <row r="29" ht="21.75" customHeight="1" s="124">
      <c r="B29" s="227">
        <f>IF(C29="","",ROW()-11)</f>
        <v/>
      </c>
      <c r="C29" s="228" t="n"/>
      <c r="D29" s="229" t="n"/>
      <c r="E29" s="230" t="n"/>
      <c r="F29" s="230" t="n"/>
      <c r="G29" s="163" t="n"/>
      <c r="H29" s="229" t="n"/>
      <c r="I29" s="230" t="n"/>
    </row>
    <row r="30" ht="21.75" customHeight="1" s="124">
      <c r="B30" s="171">
        <f>IF(C30="","",ROW()-11)</f>
        <v/>
      </c>
      <c r="C30" s="223" t="n"/>
      <c r="D30" s="224" t="n"/>
      <c r="E30" s="225" t="n"/>
      <c r="F30" s="225" t="n"/>
      <c r="G30" s="161" t="n"/>
      <c r="H30" s="224" t="n"/>
      <c r="I30" s="225" t="n"/>
    </row>
    <row r="31" ht="21.75" customHeight="1" s="124">
      <c r="B31" s="227">
        <f>IF(C31="","",ROW()-11)</f>
        <v/>
      </c>
      <c r="C31" s="228" t="n"/>
      <c r="D31" s="229" t="n"/>
      <c r="E31" s="230" t="n"/>
      <c r="F31" s="230" t="n"/>
      <c r="G31" s="163" t="n"/>
      <c r="H31" s="229" t="n"/>
      <c r="I31" s="230" t="n"/>
    </row>
    <row r="32" ht="21.75" customHeight="1" s="124">
      <c r="B32" s="171">
        <f>IF(C32="","",ROW()-11)</f>
        <v/>
      </c>
      <c r="C32" s="223" t="n"/>
      <c r="D32" s="224" t="n"/>
      <c r="E32" s="225" t="n"/>
      <c r="F32" s="225" t="n"/>
      <c r="G32" s="161" t="n"/>
      <c r="H32" s="224" t="n"/>
      <c r="I32" s="225" t="n"/>
    </row>
    <row r="33" ht="21.75" customHeight="1" s="124">
      <c r="B33" s="227">
        <f>IF(C33="","",ROW()-11)</f>
        <v/>
      </c>
      <c r="C33" s="228" t="n"/>
      <c r="D33" s="229" t="n"/>
      <c r="E33" s="230" t="n"/>
      <c r="F33" s="230" t="n"/>
      <c r="G33" s="163" t="n"/>
      <c r="H33" s="229" t="n"/>
      <c r="I33" s="230" t="n"/>
    </row>
    <row r="34" ht="21.75" customHeight="1" s="124">
      <c r="B34" s="171">
        <f>IF(C34="","",ROW()-11)</f>
        <v/>
      </c>
      <c r="C34" s="223" t="n"/>
      <c r="D34" s="224" t="n"/>
      <c r="E34" s="225" t="n"/>
      <c r="F34" s="225" t="n"/>
      <c r="G34" s="161" t="n"/>
      <c r="H34" s="224" t="n"/>
      <c r="I34" s="225" t="n"/>
    </row>
    <row r="35" ht="21.75" customHeight="1" s="124">
      <c r="B35" s="227">
        <f>IF(C35="","",ROW()-11)</f>
        <v/>
      </c>
      <c r="C35" s="228" t="n"/>
      <c r="D35" s="229" t="n"/>
      <c r="E35" s="230" t="n"/>
      <c r="F35" s="230" t="n"/>
      <c r="G35" s="163" t="n"/>
      <c r="H35" s="229" t="n"/>
      <c r="I35" s="230" t="n"/>
    </row>
    <row r="36" ht="21.75" customHeight="1" s="124">
      <c r="B36" s="171">
        <f>IF(C36="","",ROW()-11)</f>
        <v/>
      </c>
      <c r="C36" s="223" t="n"/>
      <c r="D36" s="224" t="n"/>
      <c r="E36" s="225" t="n"/>
      <c r="F36" s="225" t="n"/>
      <c r="G36" s="161" t="n"/>
      <c r="H36" s="224" t="n"/>
      <c r="I36" s="225" t="n"/>
    </row>
    <row r="37" ht="21.75" customHeight="1" s="124">
      <c r="B37" s="227">
        <f>IF(C37="","",ROW()-11)</f>
        <v/>
      </c>
      <c r="C37" s="228" t="n"/>
      <c r="D37" s="229" t="n"/>
      <c r="E37" s="230" t="n"/>
      <c r="F37" s="230" t="n"/>
      <c r="G37" s="163" t="n"/>
      <c r="H37" s="229" t="n"/>
      <c r="I37" s="230" t="n"/>
    </row>
    <row r="38" ht="21.75" customHeight="1" s="124">
      <c r="B38" s="171">
        <f>IF(C38="","",ROW()-11)</f>
        <v/>
      </c>
      <c r="C38" s="223" t="n"/>
      <c r="D38" s="224" t="n"/>
      <c r="E38" s="225" t="n"/>
      <c r="F38" s="225" t="n"/>
      <c r="G38" s="161" t="n"/>
      <c r="H38" s="224" t="n"/>
      <c r="I38" s="225" t="n"/>
    </row>
    <row r="39" ht="21.75" customHeight="1" s="124">
      <c r="B39" s="227">
        <f>IF(C39="","",ROW()-11)</f>
        <v/>
      </c>
      <c r="C39" s="228" t="n"/>
      <c r="D39" s="229" t="n"/>
      <c r="E39" s="230" t="n"/>
      <c r="F39" s="230" t="n"/>
      <c r="G39" s="163" t="n"/>
      <c r="H39" s="229" t="n"/>
      <c r="I39" s="230" t="n"/>
    </row>
    <row r="40" ht="21.75" customHeight="1" s="124">
      <c r="B40" s="171">
        <f>IF(C40="","",ROW()-11)</f>
        <v/>
      </c>
      <c r="C40" s="223" t="n"/>
      <c r="D40" s="224" t="n"/>
      <c r="E40" s="225" t="n"/>
      <c r="F40" s="225" t="n"/>
      <c r="G40" s="161" t="n"/>
      <c r="H40" s="224" t="n"/>
      <c r="I40" s="225" t="n"/>
    </row>
    <row r="41" ht="21.75" customHeight="1" s="124">
      <c r="B41" s="227">
        <f>IF(C41="","",ROW()-11)</f>
        <v/>
      </c>
      <c r="C41" s="228" t="n"/>
      <c r="D41" s="229" t="n"/>
      <c r="E41" s="230" t="n"/>
      <c r="F41" s="230" t="n"/>
      <c r="G41" s="163" t="n"/>
      <c r="H41" s="229" t="n"/>
      <c r="I41" s="230" t="n"/>
    </row>
    <row r="42" ht="21.75" customHeight="1" s="124">
      <c r="B42" s="171">
        <f>IF(C42="","",ROW()-11)</f>
        <v/>
      </c>
      <c r="C42" s="223" t="n"/>
      <c r="D42" s="224" t="n"/>
      <c r="E42" s="225" t="n"/>
      <c r="F42" s="225" t="n"/>
      <c r="G42" s="161" t="n"/>
      <c r="H42" s="224" t="n"/>
      <c r="I42" s="225" t="n"/>
    </row>
    <row r="43" ht="21.75" customHeight="1" s="124">
      <c r="B43" s="227">
        <f>IF(C43="","",ROW()-11)</f>
        <v/>
      </c>
      <c r="C43" s="228" t="n"/>
      <c r="D43" s="229" t="n"/>
      <c r="E43" s="230" t="n"/>
      <c r="F43" s="230" t="n"/>
      <c r="G43" s="163" t="n"/>
      <c r="H43" s="229" t="n"/>
      <c r="I43" s="230" t="n"/>
    </row>
    <row r="44" ht="21.75" customHeight="1" s="124">
      <c r="B44" s="171">
        <f>IF(C44="","",ROW()-11)</f>
        <v/>
      </c>
      <c r="C44" s="223" t="n"/>
      <c r="D44" s="224" t="n"/>
      <c r="E44" s="225" t="n"/>
      <c r="F44" s="225" t="n"/>
      <c r="G44" s="161" t="n"/>
      <c r="H44" s="224" t="n"/>
      <c r="I44" s="225" t="n"/>
    </row>
    <row r="45" ht="21.75" customHeight="1" s="124">
      <c r="B45" s="227">
        <f>IF(C45="","",ROW()-11)</f>
        <v/>
      </c>
      <c r="C45" s="228" t="n"/>
      <c r="D45" s="229" t="n"/>
      <c r="E45" s="230" t="n"/>
      <c r="F45" s="230" t="n"/>
      <c r="G45" s="163" t="n"/>
      <c r="H45" s="229" t="n"/>
      <c r="I45" s="230" t="n"/>
    </row>
    <row r="46" ht="21.75" customHeight="1" s="124">
      <c r="B46" s="171">
        <f>IF(C46="","",ROW()-11)</f>
        <v/>
      </c>
      <c r="C46" s="223" t="n"/>
      <c r="D46" s="224" t="n"/>
      <c r="E46" s="225" t="n"/>
      <c r="F46" s="225" t="n"/>
      <c r="G46" s="161" t="n"/>
      <c r="H46" s="224" t="n"/>
      <c r="I46" s="225" t="n"/>
    </row>
    <row r="47" ht="21.75" customHeight="1" s="124">
      <c r="B47" s="227">
        <f>IF(C47="","",ROW()-11)</f>
        <v/>
      </c>
      <c r="C47" s="228" t="n"/>
      <c r="D47" s="229" t="n"/>
      <c r="E47" s="230" t="n"/>
      <c r="F47" s="230" t="n"/>
      <c r="G47" s="163" t="n"/>
      <c r="H47" s="229" t="n"/>
      <c r="I47" s="230" t="n"/>
    </row>
    <row r="48" ht="21.75" customHeight="1" s="124">
      <c r="B48" s="171">
        <f>IF(C48="","",ROW()-11)</f>
        <v/>
      </c>
      <c r="C48" s="223" t="n"/>
      <c r="D48" s="224" t="n"/>
      <c r="E48" s="225" t="n"/>
      <c r="F48" s="225" t="n"/>
      <c r="G48" s="161" t="n"/>
      <c r="H48" s="224" t="n"/>
      <c r="I48" s="225" t="n"/>
    </row>
    <row r="49" ht="21.75" customHeight="1" s="124">
      <c r="B49" s="227">
        <f>IF(C49="","",ROW()-11)</f>
        <v/>
      </c>
      <c r="C49" s="228" t="n"/>
      <c r="D49" s="229" t="n"/>
      <c r="E49" s="230" t="n"/>
      <c r="F49" s="230" t="n"/>
      <c r="G49" s="163" t="n"/>
      <c r="H49" s="229" t="n"/>
      <c r="I49" s="230" t="n"/>
    </row>
    <row r="50" ht="21.75" customHeight="1" s="124">
      <c r="B50" s="171">
        <f>IF(C50="","",ROW()-11)</f>
        <v/>
      </c>
      <c r="C50" s="223" t="n"/>
      <c r="D50" s="224" t="n"/>
      <c r="E50" s="225" t="n"/>
      <c r="F50" s="225" t="n"/>
      <c r="G50" s="161" t="n"/>
      <c r="H50" s="224" t="n"/>
      <c r="I50" s="225" t="n"/>
    </row>
    <row r="51" ht="21.75" customHeight="1" s="124">
      <c r="B51" s="227">
        <f>IF(C51="","",ROW()-11)</f>
        <v/>
      </c>
      <c r="C51" s="228" t="n"/>
      <c r="D51" s="229" t="n"/>
      <c r="E51" s="230" t="n"/>
      <c r="F51" s="230" t="n"/>
      <c r="G51" s="163" t="n"/>
      <c r="H51" s="229" t="n"/>
      <c r="I51" s="230" t="n"/>
    </row>
    <row r="52" ht="21.75" customHeight="1" s="124">
      <c r="B52" s="171">
        <f>IF(C52="","",ROW()-11)</f>
        <v/>
      </c>
      <c r="C52" s="223" t="n"/>
      <c r="D52" s="224" t="n"/>
      <c r="E52" s="225" t="n"/>
      <c r="F52" s="225" t="n"/>
      <c r="G52" s="161" t="n"/>
      <c r="H52" s="224" t="n"/>
      <c r="I52" s="225" t="n"/>
    </row>
    <row r="53" ht="21.75" customHeight="1" s="124">
      <c r="B53" s="227">
        <f>IF(C53="","",ROW()-11)</f>
        <v/>
      </c>
      <c r="C53" s="228" t="n"/>
      <c r="D53" s="229" t="n"/>
      <c r="E53" s="230" t="n"/>
      <c r="F53" s="230" t="n"/>
      <c r="G53" s="163" t="n"/>
      <c r="H53" s="229" t="n"/>
      <c r="I53" s="230" t="n"/>
    </row>
    <row r="54" ht="21.75" customHeight="1" s="124">
      <c r="B54" s="171">
        <f>IF(C54="","",ROW()-11)</f>
        <v/>
      </c>
      <c r="C54" s="223" t="n"/>
      <c r="D54" s="224" t="n"/>
      <c r="E54" s="225" t="n"/>
      <c r="F54" s="225" t="n"/>
      <c r="G54" s="161" t="n"/>
      <c r="H54" s="224" t="n"/>
      <c r="I54" s="225" t="n"/>
    </row>
    <row r="55" ht="21.75" customHeight="1" s="124">
      <c r="B55" s="227">
        <f>IF(C55="","",ROW()-11)</f>
        <v/>
      </c>
      <c r="C55" s="228" t="n"/>
      <c r="D55" s="229" t="n"/>
      <c r="E55" s="230" t="n"/>
      <c r="F55" s="230" t="n"/>
      <c r="G55" s="163" t="n"/>
      <c r="H55" s="229" t="n"/>
      <c r="I55" s="230" t="n"/>
    </row>
    <row r="56" ht="21.75" customHeight="1" s="124">
      <c r="B56" s="171">
        <f>IF(C56="","",ROW()-11)</f>
        <v/>
      </c>
      <c r="C56" s="223" t="n"/>
      <c r="D56" s="224" t="n"/>
      <c r="E56" s="225" t="n"/>
      <c r="F56" s="225" t="n"/>
      <c r="G56" s="161" t="n"/>
      <c r="H56" s="224" t="n"/>
      <c r="I56" s="225" t="n"/>
    </row>
    <row r="57" ht="21.75" customHeight="1" s="124">
      <c r="B57" s="227">
        <f>IF(C57="","",ROW()-11)</f>
        <v/>
      </c>
      <c r="C57" s="228" t="n"/>
      <c r="D57" s="229" t="n"/>
      <c r="E57" s="230" t="n"/>
      <c r="F57" s="230" t="n"/>
      <c r="G57" s="163" t="n"/>
      <c r="H57" s="229" t="n"/>
      <c r="I57" s="230" t="n"/>
    </row>
    <row r="58" ht="21.75" customHeight="1" s="124">
      <c r="B58" s="171">
        <f>IF(C58="","",ROW()-11)</f>
        <v/>
      </c>
      <c r="C58" s="223" t="n"/>
      <c r="D58" s="224" t="n"/>
      <c r="E58" s="225" t="n"/>
      <c r="F58" s="225" t="n"/>
      <c r="G58" s="161" t="n"/>
      <c r="H58" s="224" t="n"/>
      <c r="I58" s="225" t="n"/>
    </row>
    <row r="59" ht="21.75" customHeight="1" s="124">
      <c r="B59" s="227">
        <f>IF(C59="","",ROW()-11)</f>
        <v/>
      </c>
      <c r="C59" s="228" t="n"/>
      <c r="D59" s="229" t="n"/>
      <c r="E59" s="230" t="n"/>
      <c r="F59" s="230" t="n"/>
      <c r="G59" s="163" t="n"/>
      <c r="H59" s="229" t="n"/>
      <c r="I59" s="230" t="n"/>
    </row>
    <row r="60" ht="21.75" customHeight="1" s="124">
      <c r="B60" s="171">
        <f>IF(C60="","",ROW()-11)</f>
        <v/>
      </c>
      <c r="C60" s="223" t="n"/>
      <c r="D60" s="224" t="n"/>
      <c r="E60" s="225" t="n"/>
      <c r="F60" s="225" t="n"/>
      <c r="G60" s="161" t="n"/>
      <c r="H60" s="224" t="n"/>
      <c r="I60" s="225" t="n"/>
    </row>
    <row r="61" ht="21.75" customHeight="1" s="124">
      <c r="B61" s="227">
        <f>IF(C61="","",ROW()-11)</f>
        <v/>
      </c>
      <c r="C61" s="228" t="n"/>
      <c r="D61" s="229" t="n"/>
      <c r="E61" s="230" t="n"/>
      <c r="F61" s="230" t="n"/>
      <c r="G61" s="163" t="n"/>
      <c r="H61" s="229" t="n"/>
      <c r="I61" s="230" t="n"/>
    </row>
    <row r="62" ht="30" customHeight="1" s="124">
      <c r="B62" s="209" t="inlineStr">
        <is>
          <t>SUBTOTAL PENGELUARAN</t>
        </is>
      </c>
      <c r="C62" s="150" t="n"/>
      <c r="D62" s="150" t="n"/>
      <c r="E62" s="150" t="n"/>
      <c r="F62" s="151" t="n"/>
      <c r="G62" s="210">
        <f>SUMIFS(G12:G61,D12:D61,"pengeluaran")</f>
        <v/>
      </c>
      <c r="H62" s="241" t="n"/>
      <c r="I62" s="151" t="n"/>
    </row>
    <row r="64" ht="15" customHeight="1" s="124">
      <c r="B64" s="145" t="inlineStr">
        <is>
          <t>Catatan: Sel BIRU = data dari project_arus_kas WHERE wallet_key='dokumen'. Realisasi di KPI atas dihitung otomatis dari Cashflow Timeline.</t>
        </is>
      </c>
    </row>
  </sheetData>
  <mergeCells count="10">
    <mergeCell ref="B5:D5"/>
    <mergeCell ref="B64:I64"/>
    <mergeCell ref="B62:F62"/>
    <mergeCell ref="B6:D6"/>
    <mergeCell ref="H62:I62"/>
    <mergeCell ref="B2:I2"/>
    <mergeCell ref="B10:I10"/>
    <mergeCell ref="G5:H5"/>
    <mergeCell ref="G6:H6"/>
    <mergeCell ref="B8:I8"/>
  </mergeCells>
  <conditionalFormatting sqref="D12:D61">
    <cfRule type="expression" rank="0" priority="2" equalAverage="0" aboveAverage="0" dxfId="2" text="" percent="0" bottom="0">
      <formula>$D12="pemasukan"</formula>
    </cfRule>
    <cfRule type="expression" rank="0" priority="3" equalAverage="0" aboveAverage="0" dxfId="0" text="" percent="0" bottom="0">
      <formula>$D12="pengeluaran"</formula>
    </cfRule>
  </conditionalFormatting>
  <conditionalFormatting sqref="G12:G61">
    <cfRule type="cellIs" rank="0" priority="4" equalAverage="0" operator="greaterThan" aboveAverage="0" dxfId="3" text="" percent="0" bottom="0">
      <formula>E$5*0.2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2E75B6"/>
    <outlinePr summaryBelow="1" summaryRight="1"/>
    <pageSetUpPr fitToPage="1"/>
  </sheetPr>
  <dimension ref="B2:I6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" customWidth="1" style="123" min="1" max="1"/>
    <col width="5" customWidth="1" style="123" min="2" max="2"/>
    <col width="12" customWidth="1" style="123" min="3" max="4"/>
    <col width="18" customWidth="1" style="123" min="5" max="5"/>
    <col width="26" customWidth="1" style="123" min="6" max="6"/>
    <col width="16" customWidth="1" style="123" min="7" max="7"/>
    <col width="12" customWidth="1" style="123" min="8" max="8"/>
    <col width="24" customWidth="1" style="123" min="9" max="9"/>
    <col width="2" customWidth="1" style="123" min="10" max="10"/>
  </cols>
  <sheetData>
    <row r="1" ht="7.5" customHeight="1" s="124"/>
    <row r="2" ht="30" customHeight="1" s="124">
      <c r="B2" s="242" t="inlineStr">
        <is>
          <t>DOMPET EKSEKUSI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  <c r="H3" s="129" t="n"/>
      <c r="I3" s="129" t="n"/>
    </row>
    <row r="5" ht="25.5" customHeight="1" s="124">
      <c r="B5" s="149" t="inlineStr">
        <is>
          <t>Anggaran</t>
        </is>
      </c>
      <c r="C5" s="150" t="n"/>
      <c r="D5" s="151" t="n"/>
      <c r="E5" s="234" t="n">
        <v>0</v>
      </c>
      <c r="G5" s="235" t="inlineStr">
        <is>
          <t>Sisa</t>
        </is>
      </c>
      <c r="H5" s="151" t="n"/>
      <c r="I5" s="236">
        <f>E5-E6</f>
        <v/>
      </c>
    </row>
    <row r="6" ht="30" customHeight="1" s="124">
      <c r="B6" s="237" t="inlineStr">
        <is>
          <t>Realisasi</t>
        </is>
      </c>
      <c r="C6" s="150" t="n"/>
      <c r="D6" s="151" t="n"/>
      <c r="E6" s="236">
        <f>SUMPRODUCT(('Cashflow Timeline'!H7:H106="eksekusi")*('Cashflow Timeline'!E7:E106="pengeluaran")*'Cashflow Timeline'!G7:G106)</f>
        <v/>
      </c>
      <c r="G6" s="238" t="inlineStr">
        <is>
          <t>% Penyerapan</t>
        </is>
      </c>
      <c r="H6" s="151" t="n"/>
      <c r="I6" s="239">
        <f>IFERROR(E6/E5,0)</f>
        <v/>
      </c>
    </row>
    <row r="8" ht="30" customHeight="1" s="124">
      <c r="B8" s="240" t="inlineStr">
        <is>
          <t>Sumber Anggaran: Biaya Eksekusi  •  Wallet Key: 'eksekusi'  •  Realisasi otomatis dari Cashflow Timeline</t>
        </is>
      </c>
    </row>
    <row r="10" ht="24" customHeight="1" s="124">
      <c r="B10" s="148" t="inlineStr">
        <is>
          <t>▎ DETAIL TRANSAKSI (filter wallet)</t>
        </is>
      </c>
      <c r="C10" s="135" t="n"/>
      <c r="D10" s="135" t="n"/>
      <c r="E10" s="135" t="n"/>
      <c r="F10" s="135" t="n"/>
      <c r="G10" s="135" t="n"/>
      <c r="H10" s="135" t="n"/>
      <c r="I10" s="135" t="n"/>
    </row>
    <row r="11" ht="31.5" customHeight="1" s="124">
      <c r="B11" s="243" t="inlineStr">
        <is>
          <t>No.</t>
        </is>
      </c>
      <c r="C11" s="243" t="inlineStr">
        <is>
          <t>Tanggal</t>
        </is>
      </c>
      <c r="D11" s="243" t="inlineStr">
        <is>
          <t>Jenis</t>
        </is>
      </c>
      <c r="E11" s="243" t="inlineStr">
        <is>
          <t>Kategori</t>
        </is>
      </c>
      <c r="F11" s="243" t="inlineStr">
        <is>
          <t>Judul Transaksi</t>
        </is>
      </c>
      <c r="G11" s="243" t="inlineStr">
        <is>
          <t>Nominal (Rp)</t>
        </is>
      </c>
      <c r="H11" s="243" t="inlineStr">
        <is>
          <t>Status</t>
        </is>
      </c>
      <c r="I11" s="243" t="inlineStr">
        <is>
          <t>Catatan</t>
        </is>
      </c>
    </row>
    <row r="12" ht="21.75" customHeight="1" s="124">
      <c r="B12" s="171">
        <f>IF(C12="","",ROW()-11)</f>
        <v/>
      </c>
      <c r="C12" s="223" t="n"/>
      <c r="D12" s="224" t="n"/>
      <c r="E12" s="225" t="n"/>
      <c r="F12" s="225" t="n"/>
      <c r="G12" s="161" t="n"/>
      <c r="H12" s="224" t="n"/>
      <c r="I12" s="225" t="n"/>
    </row>
    <row r="13" ht="21.75" customHeight="1" s="124">
      <c r="B13" s="227">
        <f>IF(C13="","",ROW()-11)</f>
        <v/>
      </c>
      <c r="C13" s="228" t="n"/>
      <c r="D13" s="229" t="n"/>
      <c r="E13" s="230" t="n"/>
      <c r="F13" s="230" t="n"/>
      <c r="G13" s="163" t="n"/>
      <c r="H13" s="229" t="n"/>
      <c r="I13" s="230" t="n"/>
    </row>
    <row r="14" ht="21.75" customHeight="1" s="124">
      <c r="B14" s="171">
        <f>IF(C14="","",ROW()-11)</f>
        <v/>
      </c>
      <c r="C14" s="223" t="n"/>
      <c r="D14" s="224" t="n"/>
      <c r="E14" s="225" t="n"/>
      <c r="F14" s="225" t="n"/>
      <c r="G14" s="161" t="n"/>
      <c r="H14" s="224" t="n"/>
      <c r="I14" s="225" t="n"/>
    </row>
    <row r="15" ht="21.75" customHeight="1" s="124">
      <c r="B15" s="227">
        <f>IF(C15="","",ROW()-11)</f>
        <v/>
      </c>
      <c r="C15" s="228" t="n"/>
      <c r="D15" s="229" t="n"/>
      <c r="E15" s="230" t="n"/>
      <c r="F15" s="230" t="n"/>
      <c r="G15" s="163" t="n"/>
      <c r="H15" s="229" t="n"/>
      <c r="I15" s="230" t="n"/>
    </row>
    <row r="16" ht="21.75" customHeight="1" s="124">
      <c r="B16" s="171">
        <f>IF(C16="","",ROW()-11)</f>
        <v/>
      </c>
      <c r="C16" s="223" t="n"/>
      <c r="D16" s="224" t="n"/>
      <c r="E16" s="225" t="n"/>
      <c r="F16" s="225" t="n"/>
      <c r="G16" s="161" t="n"/>
      <c r="H16" s="224" t="n"/>
      <c r="I16" s="225" t="n"/>
    </row>
    <row r="17" ht="21.75" customHeight="1" s="124">
      <c r="B17" s="227">
        <f>IF(C17="","",ROW()-11)</f>
        <v/>
      </c>
      <c r="C17" s="228" t="n"/>
      <c r="D17" s="229" t="n"/>
      <c r="E17" s="230" t="n"/>
      <c r="F17" s="230" t="n"/>
      <c r="G17" s="163" t="n"/>
      <c r="H17" s="229" t="n"/>
      <c r="I17" s="230" t="n"/>
    </row>
    <row r="18" ht="21.75" customHeight="1" s="124">
      <c r="B18" s="171">
        <f>IF(C18="","",ROW()-11)</f>
        <v/>
      </c>
      <c r="C18" s="223" t="n"/>
      <c r="D18" s="224" t="n"/>
      <c r="E18" s="225" t="n"/>
      <c r="F18" s="225" t="n"/>
      <c r="G18" s="161" t="n"/>
      <c r="H18" s="224" t="n"/>
      <c r="I18" s="225" t="n"/>
    </row>
    <row r="19" ht="21.75" customHeight="1" s="124">
      <c r="B19" s="227">
        <f>IF(C19="","",ROW()-11)</f>
        <v/>
      </c>
      <c r="C19" s="228" t="n"/>
      <c r="D19" s="229" t="n"/>
      <c r="E19" s="230" t="n"/>
      <c r="F19" s="230" t="n"/>
      <c r="G19" s="163" t="n"/>
      <c r="H19" s="229" t="n"/>
      <c r="I19" s="230" t="n"/>
    </row>
    <row r="20" ht="21.75" customHeight="1" s="124">
      <c r="B20" s="171">
        <f>IF(C20="","",ROW()-11)</f>
        <v/>
      </c>
      <c r="C20" s="223" t="n"/>
      <c r="D20" s="224" t="n"/>
      <c r="E20" s="225" t="n"/>
      <c r="F20" s="225" t="n"/>
      <c r="G20" s="161" t="n"/>
      <c r="H20" s="224" t="n"/>
      <c r="I20" s="225" t="n"/>
    </row>
    <row r="21" ht="21.75" customHeight="1" s="124">
      <c r="B21" s="227">
        <f>IF(C21="","",ROW()-11)</f>
        <v/>
      </c>
      <c r="C21" s="228" t="n"/>
      <c r="D21" s="229" t="n"/>
      <c r="E21" s="230" t="n"/>
      <c r="F21" s="230" t="n"/>
      <c r="G21" s="163" t="n"/>
      <c r="H21" s="229" t="n"/>
      <c r="I21" s="230" t="n"/>
    </row>
    <row r="22" ht="21.75" customHeight="1" s="124">
      <c r="B22" s="171">
        <f>IF(C22="","",ROW()-11)</f>
        <v/>
      </c>
      <c r="C22" s="223" t="n"/>
      <c r="D22" s="224" t="n"/>
      <c r="E22" s="225" t="n"/>
      <c r="F22" s="225" t="n"/>
      <c r="G22" s="161" t="n"/>
      <c r="H22" s="224" t="n"/>
      <c r="I22" s="225" t="n"/>
    </row>
    <row r="23" ht="21.75" customHeight="1" s="124">
      <c r="B23" s="227">
        <f>IF(C23="","",ROW()-11)</f>
        <v/>
      </c>
      <c r="C23" s="228" t="n"/>
      <c r="D23" s="229" t="n"/>
      <c r="E23" s="230" t="n"/>
      <c r="F23" s="230" t="n"/>
      <c r="G23" s="163" t="n"/>
      <c r="H23" s="229" t="n"/>
      <c r="I23" s="230" t="n"/>
    </row>
    <row r="24" ht="21.75" customHeight="1" s="124">
      <c r="B24" s="171">
        <f>IF(C24="","",ROW()-11)</f>
        <v/>
      </c>
      <c r="C24" s="223" t="n"/>
      <c r="D24" s="224" t="n"/>
      <c r="E24" s="225" t="n"/>
      <c r="F24" s="225" t="n"/>
      <c r="G24" s="161" t="n"/>
      <c r="H24" s="224" t="n"/>
      <c r="I24" s="225" t="n"/>
    </row>
    <row r="25" ht="21.75" customHeight="1" s="124">
      <c r="B25" s="227">
        <f>IF(C25="","",ROW()-11)</f>
        <v/>
      </c>
      <c r="C25" s="228" t="n"/>
      <c r="D25" s="229" t="n"/>
      <c r="E25" s="230" t="n"/>
      <c r="F25" s="230" t="n"/>
      <c r="G25" s="163" t="n"/>
      <c r="H25" s="229" t="n"/>
      <c r="I25" s="230" t="n"/>
    </row>
    <row r="26" ht="21.75" customHeight="1" s="124">
      <c r="B26" s="171">
        <f>IF(C26="","",ROW()-11)</f>
        <v/>
      </c>
      <c r="C26" s="223" t="n"/>
      <c r="D26" s="224" t="n"/>
      <c r="E26" s="225" t="n"/>
      <c r="F26" s="225" t="n"/>
      <c r="G26" s="161" t="n"/>
      <c r="H26" s="224" t="n"/>
      <c r="I26" s="225" t="n"/>
    </row>
    <row r="27" ht="21.75" customHeight="1" s="124">
      <c r="B27" s="227">
        <f>IF(C27="","",ROW()-11)</f>
        <v/>
      </c>
      <c r="C27" s="228" t="n"/>
      <c r="D27" s="229" t="n"/>
      <c r="E27" s="230" t="n"/>
      <c r="F27" s="230" t="n"/>
      <c r="G27" s="163" t="n"/>
      <c r="H27" s="229" t="n"/>
      <c r="I27" s="230" t="n"/>
    </row>
    <row r="28" ht="21.75" customHeight="1" s="124">
      <c r="B28" s="171">
        <f>IF(C28="","",ROW()-11)</f>
        <v/>
      </c>
      <c r="C28" s="223" t="n"/>
      <c r="D28" s="224" t="n"/>
      <c r="E28" s="225" t="n"/>
      <c r="F28" s="225" t="n"/>
      <c r="G28" s="161" t="n"/>
      <c r="H28" s="224" t="n"/>
      <c r="I28" s="225" t="n"/>
    </row>
    <row r="29" ht="21.75" customHeight="1" s="124">
      <c r="B29" s="227">
        <f>IF(C29="","",ROW()-11)</f>
        <v/>
      </c>
      <c r="C29" s="228" t="n"/>
      <c r="D29" s="229" t="n"/>
      <c r="E29" s="230" t="n"/>
      <c r="F29" s="230" t="n"/>
      <c r="G29" s="163" t="n"/>
      <c r="H29" s="229" t="n"/>
      <c r="I29" s="230" t="n"/>
    </row>
    <row r="30" ht="21.75" customHeight="1" s="124">
      <c r="B30" s="171">
        <f>IF(C30="","",ROW()-11)</f>
        <v/>
      </c>
      <c r="C30" s="223" t="n"/>
      <c r="D30" s="224" t="n"/>
      <c r="E30" s="225" t="n"/>
      <c r="F30" s="225" t="n"/>
      <c r="G30" s="161" t="n"/>
      <c r="H30" s="224" t="n"/>
      <c r="I30" s="225" t="n"/>
    </row>
    <row r="31" ht="21.75" customHeight="1" s="124">
      <c r="B31" s="227">
        <f>IF(C31="","",ROW()-11)</f>
        <v/>
      </c>
      <c r="C31" s="228" t="n"/>
      <c r="D31" s="229" t="n"/>
      <c r="E31" s="230" t="n"/>
      <c r="F31" s="230" t="n"/>
      <c r="G31" s="163" t="n"/>
      <c r="H31" s="229" t="n"/>
      <c r="I31" s="230" t="n"/>
    </row>
    <row r="32" ht="21.75" customHeight="1" s="124">
      <c r="B32" s="171">
        <f>IF(C32="","",ROW()-11)</f>
        <v/>
      </c>
      <c r="C32" s="223" t="n"/>
      <c r="D32" s="224" t="n"/>
      <c r="E32" s="225" t="n"/>
      <c r="F32" s="225" t="n"/>
      <c r="G32" s="161" t="n"/>
      <c r="H32" s="224" t="n"/>
      <c r="I32" s="225" t="n"/>
    </row>
    <row r="33" ht="21.75" customHeight="1" s="124">
      <c r="B33" s="227">
        <f>IF(C33="","",ROW()-11)</f>
        <v/>
      </c>
      <c r="C33" s="228" t="n"/>
      <c r="D33" s="229" t="n"/>
      <c r="E33" s="230" t="n"/>
      <c r="F33" s="230" t="n"/>
      <c r="G33" s="163" t="n"/>
      <c r="H33" s="229" t="n"/>
      <c r="I33" s="230" t="n"/>
    </row>
    <row r="34" ht="21.75" customHeight="1" s="124">
      <c r="B34" s="171">
        <f>IF(C34="","",ROW()-11)</f>
        <v/>
      </c>
      <c r="C34" s="223" t="n"/>
      <c r="D34" s="224" t="n"/>
      <c r="E34" s="225" t="n"/>
      <c r="F34" s="225" t="n"/>
      <c r="G34" s="161" t="n"/>
      <c r="H34" s="224" t="n"/>
      <c r="I34" s="225" t="n"/>
    </row>
    <row r="35" ht="21.75" customHeight="1" s="124">
      <c r="B35" s="227">
        <f>IF(C35="","",ROW()-11)</f>
        <v/>
      </c>
      <c r="C35" s="228" t="n"/>
      <c r="D35" s="229" t="n"/>
      <c r="E35" s="230" t="n"/>
      <c r="F35" s="230" t="n"/>
      <c r="G35" s="163" t="n"/>
      <c r="H35" s="229" t="n"/>
      <c r="I35" s="230" t="n"/>
    </row>
    <row r="36" ht="21.75" customHeight="1" s="124">
      <c r="B36" s="171">
        <f>IF(C36="","",ROW()-11)</f>
        <v/>
      </c>
      <c r="C36" s="223" t="n"/>
      <c r="D36" s="224" t="n"/>
      <c r="E36" s="225" t="n"/>
      <c r="F36" s="225" t="n"/>
      <c r="G36" s="161" t="n"/>
      <c r="H36" s="224" t="n"/>
      <c r="I36" s="225" t="n"/>
    </row>
    <row r="37" ht="21.75" customHeight="1" s="124">
      <c r="B37" s="227">
        <f>IF(C37="","",ROW()-11)</f>
        <v/>
      </c>
      <c r="C37" s="228" t="n"/>
      <c r="D37" s="229" t="n"/>
      <c r="E37" s="230" t="n"/>
      <c r="F37" s="230" t="n"/>
      <c r="G37" s="163" t="n"/>
      <c r="H37" s="229" t="n"/>
      <c r="I37" s="230" t="n"/>
    </row>
    <row r="38" ht="21.75" customHeight="1" s="124">
      <c r="B38" s="171">
        <f>IF(C38="","",ROW()-11)</f>
        <v/>
      </c>
      <c r="C38" s="223" t="n"/>
      <c r="D38" s="224" t="n"/>
      <c r="E38" s="225" t="n"/>
      <c r="F38" s="225" t="n"/>
      <c r="G38" s="161" t="n"/>
      <c r="H38" s="224" t="n"/>
      <c r="I38" s="225" t="n"/>
    </row>
    <row r="39" ht="21.75" customHeight="1" s="124">
      <c r="B39" s="227">
        <f>IF(C39="","",ROW()-11)</f>
        <v/>
      </c>
      <c r="C39" s="228" t="n"/>
      <c r="D39" s="229" t="n"/>
      <c r="E39" s="230" t="n"/>
      <c r="F39" s="230" t="n"/>
      <c r="G39" s="163" t="n"/>
      <c r="H39" s="229" t="n"/>
      <c r="I39" s="230" t="n"/>
    </row>
    <row r="40" ht="21.75" customHeight="1" s="124">
      <c r="B40" s="171">
        <f>IF(C40="","",ROW()-11)</f>
        <v/>
      </c>
      <c r="C40" s="223" t="n"/>
      <c r="D40" s="224" t="n"/>
      <c r="E40" s="225" t="n"/>
      <c r="F40" s="225" t="n"/>
      <c r="G40" s="161" t="n"/>
      <c r="H40" s="224" t="n"/>
      <c r="I40" s="225" t="n"/>
    </row>
    <row r="41" ht="21.75" customHeight="1" s="124">
      <c r="B41" s="227">
        <f>IF(C41="","",ROW()-11)</f>
        <v/>
      </c>
      <c r="C41" s="228" t="n"/>
      <c r="D41" s="229" t="n"/>
      <c r="E41" s="230" t="n"/>
      <c r="F41" s="230" t="n"/>
      <c r="G41" s="163" t="n"/>
      <c r="H41" s="229" t="n"/>
      <c r="I41" s="230" t="n"/>
    </row>
    <row r="42" ht="21.75" customHeight="1" s="124">
      <c r="B42" s="171">
        <f>IF(C42="","",ROW()-11)</f>
        <v/>
      </c>
      <c r="C42" s="223" t="n"/>
      <c r="D42" s="224" t="n"/>
      <c r="E42" s="225" t="n"/>
      <c r="F42" s="225" t="n"/>
      <c r="G42" s="161" t="n"/>
      <c r="H42" s="224" t="n"/>
      <c r="I42" s="225" t="n"/>
    </row>
    <row r="43" ht="21.75" customHeight="1" s="124">
      <c r="B43" s="227">
        <f>IF(C43="","",ROW()-11)</f>
        <v/>
      </c>
      <c r="C43" s="228" t="n"/>
      <c r="D43" s="229" t="n"/>
      <c r="E43" s="230" t="n"/>
      <c r="F43" s="230" t="n"/>
      <c r="G43" s="163" t="n"/>
      <c r="H43" s="229" t="n"/>
      <c r="I43" s="230" t="n"/>
    </row>
    <row r="44" ht="21.75" customHeight="1" s="124">
      <c r="B44" s="171">
        <f>IF(C44="","",ROW()-11)</f>
        <v/>
      </c>
      <c r="C44" s="223" t="n"/>
      <c r="D44" s="224" t="n"/>
      <c r="E44" s="225" t="n"/>
      <c r="F44" s="225" t="n"/>
      <c r="G44" s="161" t="n"/>
      <c r="H44" s="224" t="n"/>
      <c r="I44" s="225" t="n"/>
    </row>
    <row r="45" ht="21.75" customHeight="1" s="124">
      <c r="B45" s="227">
        <f>IF(C45="","",ROW()-11)</f>
        <v/>
      </c>
      <c r="C45" s="228" t="n"/>
      <c r="D45" s="229" t="n"/>
      <c r="E45" s="230" t="n"/>
      <c r="F45" s="230" t="n"/>
      <c r="G45" s="163" t="n"/>
      <c r="H45" s="229" t="n"/>
      <c r="I45" s="230" t="n"/>
    </row>
    <row r="46" ht="21.75" customHeight="1" s="124">
      <c r="B46" s="171">
        <f>IF(C46="","",ROW()-11)</f>
        <v/>
      </c>
      <c r="C46" s="223" t="n"/>
      <c r="D46" s="224" t="n"/>
      <c r="E46" s="225" t="n"/>
      <c r="F46" s="225" t="n"/>
      <c r="G46" s="161" t="n"/>
      <c r="H46" s="224" t="n"/>
      <c r="I46" s="225" t="n"/>
    </row>
    <row r="47" ht="21.75" customHeight="1" s="124">
      <c r="B47" s="227">
        <f>IF(C47="","",ROW()-11)</f>
        <v/>
      </c>
      <c r="C47" s="228" t="n"/>
      <c r="D47" s="229" t="n"/>
      <c r="E47" s="230" t="n"/>
      <c r="F47" s="230" t="n"/>
      <c r="G47" s="163" t="n"/>
      <c r="H47" s="229" t="n"/>
      <c r="I47" s="230" t="n"/>
    </row>
    <row r="48" ht="21.75" customHeight="1" s="124">
      <c r="B48" s="171">
        <f>IF(C48="","",ROW()-11)</f>
        <v/>
      </c>
      <c r="C48" s="223" t="n"/>
      <c r="D48" s="224" t="n"/>
      <c r="E48" s="225" t="n"/>
      <c r="F48" s="225" t="n"/>
      <c r="G48" s="161" t="n"/>
      <c r="H48" s="224" t="n"/>
      <c r="I48" s="225" t="n"/>
    </row>
    <row r="49" ht="21.75" customHeight="1" s="124">
      <c r="B49" s="227">
        <f>IF(C49="","",ROW()-11)</f>
        <v/>
      </c>
      <c r="C49" s="228" t="n"/>
      <c r="D49" s="229" t="n"/>
      <c r="E49" s="230" t="n"/>
      <c r="F49" s="230" t="n"/>
      <c r="G49" s="163" t="n"/>
      <c r="H49" s="229" t="n"/>
      <c r="I49" s="230" t="n"/>
    </row>
    <row r="50" ht="21.75" customHeight="1" s="124">
      <c r="B50" s="171">
        <f>IF(C50="","",ROW()-11)</f>
        <v/>
      </c>
      <c r="C50" s="223" t="n"/>
      <c r="D50" s="224" t="n"/>
      <c r="E50" s="225" t="n"/>
      <c r="F50" s="225" t="n"/>
      <c r="G50" s="161" t="n"/>
      <c r="H50" s="224" t="n"/>
      <c r="I50" s="225" t="n"/>
    </row>
    <row r="51" ht="21.75" customHeight="1" s="124">
      <c r="B51" s="227">
        <f>IF(C51="","",ROW()-11)</f>
        <v/>
      </c>
      <c r="C51" s="228" t="n"/>
      <c r="D51" s="229" t="n"/>
      <c r="E51" s="230" t="n"/>
      <c r="F51" s="230" t="n"/>
      <c r="G51" s="163" t="n"/>
      <c r="H51" s="229" t="n"/>
      <c r="I51" s="230" t="n"/>
    </row>
    <row r="52" ht="21.75" customHeight="1" s="124">
      <c r="B52" s="171">
        <f>IF(C52="","",ROW()-11)</f>
        <v/>
      </c>
      <c r="C52" s="223" t="n"/>
      <c r="D52" s="224" t="n"/>
      <c r="E52" s="225" t="n"/>
      <c r="F52" s="225" t="n"/>
      <c r="G52" s="161" t="n"/>
      <c r="H52" s="224" t="n"/>
      <c r="I52" s="225" t="n"/>
    </row>
    <row r="53" ht="21.75" customHeight="1" s="124">
      <c r="B53" s="227">
        <f>IF(C53="","",ROW()-11)</f>
        <v/>
      </c>
      <c r="C53" s="228" t="n"/>
      <c r="D53" s="229" t="n"/>
      <c r="E53" s="230" t="n"/>
      <c r="F53" s="230" t="n"/>
      <c r="G53" s="163" t="n"/>
      <c r="H53" s="229" t="n"/>
      <c r="I53" s="230" t="n"/>
    </row>
    <row r="54" ht="21.75" customHeight="1" s="124">
      <c r="B54" s="171">
        <f>IF(C54="","",ROW()-11)</f>
        <v/>
      </c>
      <c r="C54" s="223" t="n"/>
      <c r="D54" s="224" t="n"/>
      <c r="E54" s="225" t="n"/>
      <c r="F54" s="225" t="n"/>
      <c r="G54" s="161" t="n"/>
      <c r="H54" s="224" t="n"/>
      <c r="I54" s="225" t="n"/>
    </row>
    <row r="55" ht="21.75" customHeight="1" s="124">
      <c r="B55" s="227">
        <f>IF(C55="","",ROW()-11)</f>
        <v/>
      </c>
      <c r="C55" s="228" t="n"/>
      <c r="D55" s="229" t="n"/>
      <c r="E55" s="230" t="n"/>
      <c r="F55" s="230" t="n"/>
      <c r="G55" s="163" t="n"/>
      <c r="H55" s="229" t="n"/>
      <c r="I55" s="230" t="n"/>
    </row>
    <row r="56" ht="21.75" customHeight="1" s="124">
      <c r="B56" s="171">
        <f>IF(C56="","",ROW()-11)</f>
        <v/>
      </c>
      <c r="C56" s="223" t="n"/>
      <c r="D56" s="224" t="n"/>
      <c r="E56" s="225" t="n"/>
      <c r="F56" s="225" t="n"/>
      <c r="G56" s="161" t="n"/>
      <c r="H56" s="224" t="n"/>
      <c r="I56" s="225" t="n"/>
    </row>
    <row r="57" ht="21.75" customHeight="1" s="124">
      <c r="B57" s="227">
        <f>IF(C57="","",ROW()-11)</f>
        <v/>
      </c>
      <c r="C57" s="228" t="n"/>
      <c r="D57" s="229" t="n"/>
      <c r="E57" s="230" t="n"/>
      <c r="F57" s="230" t="n"/>
      <c r="G57" s="163" t="n"/>
      <c r="H57" s="229" t="n"/>
      <c r="I57" s="230" t="n"/>
    </row>
    <row r="58" ht="21.75" customHeight="1" s="124">
      <c r="B58" s="171">
        <f>IF(C58="","",ROW()-11)</f>
        <v/>
      </c>
      <c r="C58" s="223" t="n"/>
      <c r="D58" s="224" t="n"/>
      <c r="E58" s="225" t="n"/>
      <c r="F58" s="225" t="n"/>
      <c r="G58" s="161" t="n"/>
      <c r="H58" s="224" t="n"/>
      <c r="I58" s="225" t="n"/>
    </row>
    <row r="59" ht="21.75" customHeight="1" s="124">
      <c r="B59" s="227">
        <f>IF(C59="","",ROW()-11)</f>
        <v/>
      </c>
      <c r="C59" s="228" t="n"/>
      <c r="D59" s="229" t="n"/>
      <c r="E59" s="230" t="n"/>
      <c r="F59" s="230" t="n"/>
      <c r="G59" s="163" t="n"/>
      <c r="H59" s="229" t="n"/>
      <c r="I59" s="230" t="n"/>
    </row>
    <row r="60" ht="21.75" customHeight="1" s="124">
      <c r="B60" s="171">
        <f>IF(C60="","",ROW()-11)</f>
        <v/>
      </c>
      <c r="C60" s="223" t="n"/>
      <c r="D60" s="224" t="n"/>
      <c r="E60" s="225" t="n"/>
      <c r="F60" s="225" t="n"/>
      <c r="G60" s="161" t="n"/>
      <c r="H60" s="224" t="n"/>
      <c r="I60" s="225" t="n"/>
    </row>
    <row r="61" ht="21.75" customHeight="1" s="124">
      <c r="B61" s="227">
        <f>IF(C61="","",ROW()-11)</f>
        <v/>
      </c>
      <c r="C61" s="228" t="n"/>
      <c r="D61" s="229" t="n"/>
      <c r="E61" s="230" t="n"/>
      <c r="F61" s="230" t="n"/>
      <c r="G61" s="163" t="n"/>
      <c r="H61" s="229" t="n"/>
      <c r="I61" s="230" t="n"/>
    </row>
    <row r="62" ht="30" customHeight="1" s="124">
      <c r="B62" s="209" t="inlineStr">
        <is>
          <t>SUBTOTAL PENGELUARAN</t>
        </is>
      </c>
      <c r="C62" s="150" t="n"/>
      <c r="D62" s="150" t="n"/>
      <c r="E62" s="150" t="n"/>
      <c r="F62" s="151" t="n"/>
      <c r="G62" s="210">
        <f>SUMIFS(G12:G61,D12:D61,"pengeluaran")</f>
        <v/>
      </c>
      <c r="H62" s="241" t="n"/>
      <c r="I62" s="151" t="n"/>
    </row>
    <row r="64" ht="15" customHeight="1" s="124">
      <c r="B64" s="145" t="inlineStr">
        <is>
          <t>Catatan: Sel BIRU = data dari project_arus_kas WHERE wallet_key='dokumen'. Realisasi di KPI atas dihitung otomatis dari Cashflow Timeline.</t>
        </is>
      </c>
    </row>
  </sheetData>
  <mergeCells count="10">
    <mergeCell ref="B5:D5"/>
    <mergeCell ref="B64:I64"/>
    <mergeCell ref="B62:F62"/>
    <mergeCell ref="B6:D6"/>
    <mergeCell ref="H62:I62"/>
    <mergeCell ref="B2:I2"/>
    <mergeCell ref="B10:I10"/>
    <mergeCell ref="G5:H5"/>
    <mergeCell ref="G6:H6"/>
    <mergeCell ref="B8:I8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ED7D31"/>
    <outlinePr summaryBelow="1" summaryRight="1"/>
    <pageSetUpPr fitToPage="1"/>
  </sheetPr>
  <dimension ref="B2:I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5" customWidth="1" style="123" min="2" max="2"/>
    <col width="12" customWidth="1" style="123" min="3" max="4"/>
    <col width="18" customWidth="1" style="123" min="5" max="5"/>
    <col width="26" customWidth="1" style="123" min="6" max="6"/>
    <col width="16" customWidth="1" style="123" min="7" max="7"/>
    <col width="12" customWidth="1" style="123" min="8" max="8"/>
    <col width="24" customWidth="1" style="123" min="9" max="9"/>
    <col width="2" customWidth="1" style="123" min="10" max="10"/>
  </cols>
  <sheetData>
    <row r="1" ht="7.5" customHeight="1" s="124"/>
    <row r="2" ht="30" customHeight="1" s="124">
      <c r="B2" s="244" t="inlineStr">
        <is>
          <t>DOMPET RENOVASI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  <c r="H3" s="129" t="n"/>
      <c r="I3" s="129" t="n"/>
    </row>
    <row r="5" ht="25.5" customHeight="1" s="124">
      <c r="B5" s="149" t="inlineStr">
        <is>
          <t>Anggaran</t>
        </is>
      </c>
      <c r="C5" s="150" t="n"/>
      <c r="D5" s="151" t="n"/>
      <c r="E5" s="234" t="n">
        <v>0</v>
      </c>
      <c r="G5" s="235" t="inlineStr">
        <is>
          <t>Sisa</t>
        </is>
      </c>
      <c r="H5" s="151" t="n"/>
      <c r="I5" s="236">
        <f>E5-E6</f>
        <v/>
      </c>
    </row>
    <row r="6" ht="30" customHeight="1" s="124">
      <c r="B6" s="237" t="inlineStr">
        <is>
          <t>Realisasi</t>
        </is>
      </c>
      <c r="C6" s="150" t="n"/>
      <c r="D6" s="151" t="n"/>
      <c r="E6" s="236">
        <f>SUMPRODUCT(('Cashflow Timeline'!H7:H106="renovasi")*('Cashflow Timeline'!E7:E106="pengeluaran")*'Cashflow Timeline'!G7:G106)</f>
        <v/>
      </c>
      <c r="G6" s="238" t="inlineStr">
        <is>
          <t>% Penyerapan</t>
        </is>
      </c>
      <c r="H6" s="151" t="n"/>
      <c r="I6" s="239">
        <f>IFERROR(E6/E5,0)</f>
        <v/>
      </c>
    </row>
    <row r="8" ht="30" customHeight="1" s="124">
      <c r="B8" s="240" t="inlineStr">
        <is>
          <t>Sumber Anggaran: Renovasi &amp; Peningkatan Properti  •  Wallet Key: 'renovasi'  •  Realisasi otomatis dari Cashflow Timeline</t>
        </is>
      </c>
    </row>
    <row r="10" ht="24" customHeight="1" s="124">
      <c r="B10" s="148" t="inlineStr">
        <is>
          <t>▎ DETAIL TRANSAKSI (filter wallet)</t>
        </is>
      </c>
      <c r="C10" s="135" t="n"/>
      <c r="D10" s="135" t="n"/>
      <c r="E10" s="135" t="n"/>
      <c r="F10" s="135" t="n"/>
      <c r="G10" s="135" t="n"/>
      <c r="H10" s="135" t="n"/>
      <c r="I10" s="135" t="n"/>
    </row>
    <row r="11" ht="31.5" customHeight="1" s="124">
      <c r="B11" s="245" t="inlineStr">
        <is>
          <t>No.</t>
        </is>
      </c>
      <c r="C11" s="245" t="inlineStr">
        <is>
          <t>Tanggal</t>
        </is>
      </c>
      <c r="D11" s="245" t="inlineStr">
        <is>
          <t>Jenis</t>
        </is>
      </c>
      <c r="E11" s="245" t="inlineStr">
        <is>
          <t>Kategori</t>
        </is>
      </c>
      <c r="F11" s="245" t="inlineStr">
        <is>
          <t>Judul Transaksi</t>
        </is>
      </c>
      <c r="G11" s="245" t="inlineStr">
        <is>
          <t>Nominal (Rp)</t>
        </is>
      </c>
      <c r="H11" s="245" t="inlineStr">
        <is>
          <t>Status</t>
        </is>
      </c>
      <c r="I11" s="245" t="inlineStr">
        <is>
          <t>Catatan</t>
        </is>
      </c>
    </row>
    <row r="12" ht="21.75" customHeight="1" s="124">
      <c r="B12" s="171">
        <f>IF(C12="","",ROW()-11)</f>
        <v/>
      </c>
      <c r="C12" s="223" t="n"/>
      <c r="D12" s="224" t="n"/>
      <c r="E12" s="225" t="n"/>
      <c r="F12" s="225" t="n"/>
      <c r="G12" s="161" t="n"/>
      <c r="H12" s="224" t="n"/>
      <c r="I12" s="225" t="n"/>
    </row>
    <row r="13" ht="21.75" customHeight="1" s="124">
      <c r="B13" s="227">
        <f>IF(C13="","",ROW()-11)</f>
        <v/>
      </c>
      <c r="C13" s="228" t="n"/>
      <c r="D13" s="229" t="n"/>
      <c r="E13" s="230" t="n"/>
      <c r="F13" s="230" t="n"/>
      <c r="G13" s="163" t="n"/>
      <c r="H13" s="229" t="n"/>
      <c r="I13" s="230" t="n"/>
    </row>
    <row r="14" ht="21.75" customHeight="1" s="124">
      <c r="B14" s="171">
        <f>IF(C14="","",ROW()-11)</f>
        <v/>
      </c>
      <c r="C14" s="223" t="n"/>
      <c r="D14" s="224" t="n"/>
      <c r="E14" s="225" t="n"/>
      <c r="F14" s="225" t="n"/>
      <c r="G14" s="161" t="n"/>
      <c r="H14" s="224" t="n"/>
      <c r="I14" s="225" t="n"/>
    </row>
    <row r="15" ht="21.75" customHeight="1" s="124">
      <c r="B15" s="227">
        <f>IF(C15="","",ROW()-11)</f>
        <v/>
      </c>
      <c r="C15" s="228" t="n"/>
      <c r="D15" s="229" t="n"/>
      <c r="E15" s="230" t="n"/>
      <c r="F15" s="230" t="n"/>
      <c r="G15" s="163" t="n"/>
      <c r="H15" s="229" t="n"/>
      <c r="I15" s="230" t="n"/>
    </row>
    <row r="16" ht="21.75" customHeight="1" s="124">
      <c r="B16" s="171">
        <f>IF(C16="","",ROW()-11)</f>
        <v/>
      </c>
      <c r="C16" s="223" t="n"/>
      <c r="D16" s="224" t="n"/>
      <c r="E16" s="225" t="n"/>
      <c r="F16" s="225" t="n"/>
      <c r="G16" s="161" t="n"/>
      <c r="H16" s="224" t="n"/>
      <c r="I16" s="225" t="n"/>
    </row>
    <row r="17" ht="21.75" customHeight="1" s="124">
      <c r="B17" s="227">
        <f>IF(C17="","",ROW()-11)</f>
        <v/>
      </c>
      <c r="C17" s="228" t="n"/>
      <c r="D17" s="229" t="n"/>
      <c r="E17" s="230" t="n"/>
      <c r="F17" s="230" t="n"/>
      <c r="G17" s="163" t="n"/>
      <c r="H17" s="229" t="n"/>
      <c r="I17" s="230" t="n"/>
    </row>
    <row r="18" ht="21.75" customHeight="1" s="124">
      <c r="B18" s="171">
        <f>IF(C18="","",ROW()-11)</f>
        <v/>
      </c>
      <c r="C18" s="223" t="n"/>
      <c r="D18" s="224" t="n"/>
      <c r="E18" s="225" t="n"/>
      <c r="F18" s="225" t="n"/>
      <c r="G18" s="161" t="n"/>
      <c r="H18" s="224" t="n"/>
      <c r="I18" s="225" t="n"/>
    </row>
    <row r="19" ht="21.75" customHeight="1" s="124">
      <c r="B19" s="227">
        <f>IF(C19="","",ROW()-11)</f>
        <v/>
      </c>
      <c r="C19" s="228" t="n"/>
      <c r="D19" s="229" t="n"/>
      <c r="E19" s="230" t="n"/>
      <c r="F19" s="230" t="n"/>
      <c r="G19" s="163" t="n"/>
      <c r="H19" s="229" t="n"/>
      <c r="I19" s="230" t="n"/>
    </row>
    <row r="20" ht="21.75" customHeight="1" s="124">
      <c r="B20" s="171">
        <f>IF(C20="","",ROW()-11)</f>
        <v/>
      </c>
      <c r="C20" s="223" t="n"/>
      <c r="D20" s="224" t="n"/>
      <c r="E20" s="225" t="n"/>
      <c r="F20" s="225" t="n"/>
      <c r="G20" s="161" t="n"/>
      <c r="H20" s="224" t="n"/>
      <c r="I20" s="225" t="n"/>
    </row>
    <row r="21" ht="21.75" customHeight="1" s="124">
      <c r="B21" s="227">
        <f>IF(C21="","",ROW()-11)</f>
        <v/>
      </c>
      <c r="C21" s="228" t="n"/>
      <c r="D21" s="229" t="n"/>
      <c r="E21" s="230" t="n"/>
      <c r="F21" s="230" t="n"/>
      <c r="G21" s="163" t="n"/>
      <c r="H21" s="229" t="n"/>
      <c r="I21" s="230" t="n"/>
    </row>
    <row r="22" ht="21.75" customHeight="1" s="124">
      <c r="B22" s="171">
        <f>IF(C22="","",ROW()-11)</f>
        <v/>
      </c>
      <c r="C22" s="223" t="n"/>
      <c r="D22" s="224" t="n"/>
      <c r="E22" s="225" t="n"/>
      <c r="F22" s="225" t="n"/>
      <c r="G22" s="161" t="n"/>
      <c r="H22" s="224" t="n"/>
      <c r="I22" s="225" t="n"/>
    </row>
    <row r="23" ht="21.75" customHeight="1" s="124">
      <c r="B23" s="227">
        <f>IF(C23="","",ROW()-11)</f>
        <v/>
      </c>
      <c r="C23" s="228" t="n"/>
      <c r="D23" s="229" t="n"/>
      <c r="E23" s="230" t="n"/>
      <c r="F23" s="230" t="n"/>
      <c r="G23" s="163" t="n"/>
      <c r="H23" s="229" t="n"/>
      <c r="I23" s="230" t="n"/>
    </row>
    <row r="24" ht="21.75" customHeight="1" s="124">
      <c r="B24" s="171">
        <f>IF(C24="","",ROW()-11)</f>
        <v/>
      </c>
      <c r="C24" s="223" t="n"/>
      <c r="D24" s="224" t="n"/>
      <c r="E24" s="225" t="n"/>
      <c r="F24" s="225" t="n"/>
      <c r="G24" s="161" t="n"/>
      <c r="H24" s="224" t="n"/>
      <c r="I24" s="225" t="n"/>
    </row>
    <row r="25" ht="21.75" customHeight="1" s="124">
      <c r="B25" s="227">
        <f>IF(C25="","",ROW()-11)</f>
        <v/>
      </c>
      <c r="C25" s="228" t="n"/>
      <c r="D25" s="229" t="n"/>
      <c r="E25" s="230" t="n"/>
      <c r="F25" s="230" t="n"/>
      <c r="G25" s="163" t="n"/>
      <c r="H25" s="229" t="n"/>
      <c r="I25" s="230" t="n"/>
    </row>
    <row r="26" ht="21.75" customHeight="1" s="124">
      <c r="B26" s="171">
        <f>IF(C26="","",ROW()-11)</f>
        <v/>
      </c>
      <c r="C26" s="223" t="n"/>
      <c r="D26" s="224" t="n"/>
      <c r="E26" s="225" t="n"/>
      <c r="F26" s="225" t="n"/>
      <c r="G26" s="161" t="n"/>
      <c r="H26" s="224" t="n"/>
      <c r="I26" s="225" t="n"/>
    </row>
    <row r="27" ht="21.75" customHeight="1" s="124">
      <c r="B27" s="227">
        <f>IF(C27="","",ROW()-11)</f>
        <v/>
      </c>
      <c r="C27" s="228" t="n"/>
      <c r="D27" s="229" t="n"/>
      <c r="E27" s="230" t="n"/>
      <c r="F27" s="230" t="n"/>
      <c r="G27" s="163" t="n"/>
      <c r="H27" s="229" t="n"/>
      <c r="I27" s="230" t="n"/>
    </row>
    <row r="28" ht="21.75" customHeight="1" s="124">
      <c r="B28" s="171">
        <f>IF(C28="","",ROW()-11)</f>
        <v/>
      </c>
      <c r="C28" s="223" t="n"/>
      <c r="D28" s="224" t="n"/>
      <c r="E28" s="225" t="n"/>
      <c r="F28" s="225" t="n"/>
      <c r="G28" s="161" t="n"/>
      <c r="H28" s="224" t="n"/>
      <c r="I28" s="225" t="n"/>
    </row>
    <row r="29" ht="21.75" customHeight="1" s="124">
      <c r="B29" s="227">
        <f>IF(C29="","",ROW()-11)</f>
        <v/>
      </c>
      <c r="C29" s="228" t="n"/>
      <c r="D29" s="229" t="n"/>
      <c r="E29" s="230" t="n"/>
      <c r="F29" s="230" t="n"/>
      <c r="G29" s="163" t="n"/>
      <c r="H29" s="229" t="n"/>
      <c r="I29" s="230" t="n"/>
    </row>
    <row r="30" ht="21.75" customHeight="1" s="124">
      <c r="B30" s="171">
        <f>IF(C30="","",ROW()-11)</f>
        <v/>
      </c>
      <c r="C30" s="223" t="n"/>
      <c r="D30" s="224" t="n"/>
      <c r="E30" s="225" t="n"/>
      <c r="F30" s="225" t="n"/>
      <c r="G30" s="161" t="n"/>
      <c r="H30" s="224" t="n"/>
      <c r="I30" s="225" t="n"/>
    </row>
    <row r="31" ht="21.75" customHeight="1" s="124">
      <c r="B31" s="227">
        <f>IF(C31="","",ROW()-11)</f>
        <v/>
      </c>
      <c r="C31" s="228" t="n"/>
      <c r="D31" s="229" t="n"/>
      <c r="E31" s="230" t="n"/>
      <c r="F31" s="230" t="n"/>
      <c r="G31" s="163" t="n"/>
      <c r="H31" s="229" t="n"/>
      <c r="I31" s="230" t="n"/>
    </row>
    <row r="32" ht="21.75" customHeight="1" s="124">
      <c r="B32" s="171">
        <f>IF(C32="","",ROW()-11)</f>
        <v/>
      </c>
      <c r="C32" s="223" t="n"/>
      <c r="D32" s="224" t="n"/>
      <c r="E32" s="225" t="n"/>
      <c r="F32" s="225" t="n"/>
      <c r="G32" s="161" t="n"/>
      <c r="H32" s="224" t="n"/>
      <c r="I32" s="225" t="n"/>
    </row>
    <row r="33" ht="21.75" customHeight="1" s="124">
      <c r="B33" s="227">
        <f>IF(C33="","",ROW()-11)</f>
        <v/>
      </c>
      <c r="C33" s="228" t="n"/>
      <c r="D33" s="229" t="n"/>
      <c r="E33" s="230" t="n"/>
      <c r="F33" s="230" t="n"/>
      <c r="G33" s="163" t="n"/>
      <c r="H33" s="229" t="n"/>
      <c r="I33" s="230" t="n"/>
    </row>
    <row r="34" ht="21.75" customHeight="1" s="124">
      <c r="B34" s="171">
        <f>IF(C34="","",ROW()-11)</f>
        <v/>
      </c>
      <c r="C34" s="223" t="n"/>
      <c r="D34" s="224" t="n"/>
      <c r="E34" s="225" t="n"/>
      <c r="F34" s="225" t="n"/>
      <c r="G34" s="161" t="n"/>
      <c r="H34" s="224" t="n"/>
      <c r="I34" s="225" t="n"/>
    </row>
    <row r="35" ht="21.75" customHeight="1" s="124">
      <c r="B35" s="227">
        <f>IF(C35="","",ROW()-11)</f>
        <v/>
      </c>
      <c r="C35" s="228" t="n"/>
      <c r="D35" s="229" t="n"/>
      <c r="E35" s="230" t="n"/>
      <c r="F35" s="230" t="n"/>
      <c r="G35" s="163" t="n"/>
      <c r="H35" s="229" t="n"/>
      <c r="I35" s="230" t="n"/>
    </row>
    <row r="36" ht="21.75" customHeight="1" s="124">
      <c r="B36" s="171">
        <f>IF(C36="","",ROW()-11)</f>
        <v/>
      </c>
      <c r="C36" s="223" t="n"/>
      <c r="D36" s="224" t="n"/>
      <c r="E36" s="225" t="n"/>
      <c r="F36" s="225" t="n"/>
      <c r="G36" s="161" t="n"/>
      <c r="H36" s="224" t="n"/>
      <c r="I36" s="225" t="n"/>
    </row>
    <row r="37" ht="21.75" customHeight="1" s="124">
      <c r="B37" s="227">
        <f>IF(C37="","",ROW()-11)</f>
        <v/>
      </c>
      <c r="C37" s="228" t="n"/>
      <c r="D37" s="229" t="n"/>
      <c r="E37" s="230" t="n"/>
      <c r="F37" s="230" t="n"/>
      <c r="G37" s="163" t="n"/>
      <c r="H37" s="229" t="n"/>
      <c r="I37" s="230" t="n"/>
    </row>
    <row r="38" ht="21.75" customHeight="1" s="124">
      <c r="B38" s="171">
        <f>IF(C38="","",ROW()-11)</f>
        <v/>
      </c>
      <c r="C38" s="223" t="n"/>
      <c r="D38" s="224" t="n"/>
      <c r="E38" s="225" t="n"/>
      <c r="F38" s="225" t="n"/>
      <c r="G38" s="161" t="n"/>
      <c r="H38" s="224" t="n"/>
      <c r="I38" s="225" t="n"/>
    </row>
    <row r="39" ht="21.75" customHeight="1" s="124">
      <c r="B39" s="227">
        <f>IF(C39="","",ROW()-11)</f>
        <v/>
      </c>
      <c r="C39" s="228" t="n"/>
      <c r="D39" s="229" t="n"/>
      <c r="E39" s="230" t="n"/>
      <c r="F39" s="230" t="n"/>
      <c r="G39" s="163" t="n"/>
      <c r="H39" s="229" t="n"/>
      <c r="I39" s="230" t="n"/>
    </row>
    <row r="40" ht="21.75" customHeight="1" s="124">
      <c r="B40" s="171">
        <f>IF(C40="","",ROW()-11)</f>
        <v/>
      </c>
      <c r="C40" s="223" t="n"/>
      <c r="D40" s="224" t="n"/>
      <c r="E40" s="225" t="n"/>
      <c r="F40" s="225" t="n"/>
      <c r="G40" s="161" t="n"/>
      <c r="H40" s="224" t="n"/>
      <c r="I40" s="225" t="n"/>
    </row>
    <row r="41" ht="21.75" customHeight="1" s="124">
      <c r="B41" s="227">
        <f>IF(C41="","",ROW()-11)</f>
        <v/>
      </c>
      <c r="C41" s="228" t="n"/>
      <c r="D41" s="229" t="n"/>
      <c r="E41" s="230" t="n"/>
      <c r="F41" s="230" t="n"/>
      <c r="G41" s="163" t="n"/>
      <c r="H41" s="229" t="n"/>
      <c r="I41" s="230" t="n"/>
    </row>
    <row r="42" ht="21.75" customHeight="1" s="124">
      <c r="B42" s="171">
        <f>IF(C42="","",ROW()-11)</f>
        <v/>
      </c>
      <c r="C42" s="223" t="n"/>
      <c r="D42" s="224" t="n"/>
      <c r="E42" s="225" t="n"/>
      <c r="F42" s="225" t="n"/>
      <c r="G42" s="161" t="n"/>
      <c r="H42" s="224" t="n"/>
      <c r="I42" s="225" t="n"/>
    </row>
    <row r="43" ht="21.75" customHeight="1" s="124">
      <c r="B43" s="227">
        <f>IF(C43="","",ROW()-11)</f>
        <v/>
      </c>
      <c r="C43" s="228" t="n"/>
      <c r="D43" s="229" t="n"/>
      <c r="E43" s="230" t="n"/>
      <c r="F43" s="230" t="n"/>
      <c r="G43" s="163" t="n"/>
      <c r="H43" s="229" t="n"/>
      <c r="I43" s="230" t="n"/>
    </row>
    <row r="44" ht="21.75" customHeight="1" s="124">
      <c r="B44" s="171">
        <f>IF(C44="","",ROW()-11)</f>
        <v/>
      </c>
      <c r="C44" s="223" t="n"/>
      <c r="D44" s="224" t="n"/>
      <c r="E44" s="225" t="n"/>
      <c r="F44" s="225" t="n"/>
      <c r="G44" s="161" t="n"/>
      <c r="H44" s="224" t="n"/>
      <c r="I44" s="225" t="n"/>
    </row>
    <row r="45" ht="21.75" customHeight="1" s="124">
      <c r="B45" s="227">
        <f>IF(C45="","",ROW()-11)</f>
        <v/>
      </c>
      <c r="C45" s="228" t="n"/>
      <c r="D45" s="229" t="n"/>
      <c r="E45" s="230" t="n"/>
      <c r="F45" s="230" t="n"/>
      <c r="G45" s="163" t="n"/>
      <c r="H45" s="229" t="n"/>
      <c r="I45" s="230" t="n"/>
    </row>
    <row r="46" ht="21.75" customHeight="1" s="124">
      <c r="B46" s="171">
        <f>IF(C46="","",ROW()-11)</f>
        <v/>
      </c>
      <c r="C46" s="223" t="n"/>
      <c r="D46" s="224" t="n"/>
      <c r="E46" s="225" t="n"/>
      <c r="F46" s="225" t="n"/>
      <c r="G46" s="161" t="n"/>
      <c r="H46" s="224" t="n"/>
      <c r="I46" s="225" t="n"/>
    </row>
    <row r="47" ht="21.75" customHeight="1" s="124">
      <c r="B47" s="227">
        <f>IF(C47="","",ROW()-11)</f>
        <v/>
      </c>
      <c r="C47" s="228" t="n"/>
      <c r="D47" s="229" t="n"/>
      <c r="E47" s="230" t="n"/>
      <c r="F47" s="230" t="n"/>
      <c r="G47" s="163" t="n"/>
      <c r="H47" s="229" t="n"/>
      <c r="I47" s="230" t="n"/>
    </row>
    <row r="48" ht="21.75" customHeight="1" s="124">
      <c r="B48" s="171">
        <f>IF(C48="","",ROW()-11)</f>
        <v/>
      </c>
      <c r="C48" s="223" t="n"/>
      <c r="D48" s="224" t="n"/>
      <c r="E48" s="225" t="n"/>
      <c r="F48" s="225" t="n"/>
      <c r="G48" s="161" t="n"/>
      <c r="H48" s="224" t="n"/>
      <c r="I48" s="225" t="n"/>
    </row>
    <row r="49" ht="21.75" customHeight="1" s="124">
      <c r="B49" s="227">
        <f>IF(C49="","",ROW()-11)</f>
        <v/>
      </c>
      <c r="C49" s="228" t="n"/>
      <c r="D49" s="229" t="n"/>
      <c r="E49" s="230" t="n"/>
      <c r="F49" s="230" t="n"/>
      <c r="G49" s="163" t="n"/>
      <c r="H49" s="229" t="n"/>
      <c r="I49" s="230" t="n"/>
    </row>
    <row r="50" ht="21.75" customHeight="1" s="124">
      <c r="B50" s="171">
        <f>IF(C50="","",ROW()-11)</f>
        <v/>
      </c>
      <c r="C50" s="223" t="n"/>
      <c r="D50" s="224" t="n"/>
      <c r="E50" s="225" t="n"/>
      <c r="F50" s="225" t="n"/>
      <c r="G50" s="161" t="n"/>
      <c r="H50" s="224" t="n"/>
      <c r="I50" s="225" t="n"/>
    </row>
    <row r="51" ht="21.75" customHeight="1" s="124">
      <c r="B51" s="227">
        <f>IF(C51="","",ROW()-11)</f>
        <v/>
      </c>
      <c r="C51" s="228" t="n"/>
      <c r="D51" s="229" t="n"/>
      <c r="E51" s="230" t="n"/>
      <c r="F51" s="230" t="n"/>
      <c r="G51" s="163" t="n"/>
      <c r="H51" s="229" t="n"/>
      <c r="I51" s="230" t="n"/>
    </row>
    <row r="52" ht="21.75" customHeight="1" s="124">
      <c r="B52" s="171">
        <f>IF(C52="","",ROW()-11)</f>
        <v/>
      </c>
      <c r="C52" s="223" t="n"/>
      <c r="D52" s="224" t="n"/>
      <c r="E52" s="225" t="n"/>
      <c r="F52" s="225" t="n"/>
      <c r="G52" s="161" t="n"/>
      <c r="H52" s="224" t="n"/>
      <c r="I52" s="225" t="n"/>
    </row>
    <row r="53" ht="21.75" customHeight="1" s="124">
      <c r="B53" s="227">
        <f>IF(C53="","",ROW()-11)</f>
        <v/>
      </c>
      <c r="C53" s="228" t="n"/>
      <c r="D53" s="229" t="n"/>
      <c r="E53" s="230" t="n"/>
      <c r="F53" s="230" t="n"/>
      <c r="G53" s="163" t="n"/>
      <c r="H53" s="229" t="n"/>
      <c r="I53" s="230" t="n"/>
    </row>
    <row r="54" ht="21.75" customHeight="1" s="124">
      <c r="B54" s="171">
        <f>IF(C54="","",ROW()-11)</f>
        <v/>
      </c>
      <c r="C54" s="223" t="n"/>
      <c r="D54" s="224" t="n"/>
      <c r="E54" s="225" t="n"/>
      <c r="F54" s="225" t="n"/>
      <c r="G54" s="161" t="n"/>
      <c r="H54" s="224" t="n"/>
      <c r="I54" s="225" t="n"/>
    </row>
    <row r="55" ht="21.75" customHeight="1" s="124">
      <c r="B55" s="227">
        <f>IF(C55="","",ROW()-11)</f>
        <v/>
      </c>
      <c r="C55" s="228" t="n"/>
      <c r="D55" s="229" t="n"/>
      <c r="E55" s="230" t="n"/>
      <c r="F55" s="230" t="n"/>
      <c r="G55" s="163" t="n"/>
      <c r="H55" s="229" t="n"/>
      <c r="I55" s="230" t="n"/>
    </row>
    <row r="56" ht="21.75" customHeight="1" s="124">
      <c r="B56" s="171">
        <f>IF(C56="","",ROW()-11)</f>
        <v/>
      </c>
      <c r="C56" s="223" t="n"/>
      <c r="D56" s="224" t="n"/>
      <c r="E56" s="225" t="n"/>
      <c r="F56" s="225" t="n"/>
      <c r="G56" s="161" t="n"/>
      <c r="H56" s="224" t="n"/>
      <c r="I56" s="225" t="n"/>
    </row>
    <row r="57" ht="21.75" customHeight="1" s="124">
      <c r="B57" s="227">
        <f>IF(C57="","",ROW()-11)</f>
        <v/>
      </c>
      <c r="C57" s="228" t="n"/>
      <c r="D57" s="229" t="n"/>
      <c r="E57" s="230" t="n"/>
      <c r="F57" s="230" t="n"/>
      <c r="G57" s="163" t="n"/>
      <c r="H57" s="229" t="n"/>
      <c r="I57" s="230" t="n"/>
    </row>
    <row r="58" ht="21.75" customHeight="1" s="124">
      <c r="B58" s="171">
        <f>IF(C58="","",ROW()-11)</f>
        <v/>
      </c>
      <c r="C58" s="223" t="n"/>
      <c r="D58" s="224" t="n"/>
      <c r="E58" s="225" t="n"/>
      <c r="F58" s="225" t="n"/>
      <c r="G58" s="161" t="n"/>
      <c r="H58" s="224" t="n"/>
      <c r="I58" s="225" t="n"/>
    </row>
    <row r="59" ht="21.75" customHeight="1" s="124">
      <c r="B59" s="227">
        <f>IF(C59="","",ROW()-11)</f>
        <v/>
      </c>
      <c r="C59" s="228" t="n"/>
      <c r="D59" s="229" t="n"/>
      <c r="E59" s="230" t="n"/>
      <c r="F59" s="230" t="n"/>
      <c r="G59" s="163" t="n"/>
      <c r="H59" s="229" t="n"/>
      <c r="I59" s="230" t="n"/>
    </row>
    <row r="60" ht="21.75" customHeight="1" s="124">
      <c r="B60" s="171">
        <f>IF(C60="","",ROW()-11)</f>
        <v/>
      </c>
      <c r="C60" s="223" t="n"/>
      <c r="D60" s="224" t="n"/>
      <c r="E60" s="225" t="n"/>
      <c r="F60" s="225" t="n"/>
      <c r="G60" s="161" t="n"/>
      <c r="H60" s="224" t="n"/>
      <c r="I60" s="225" t="n"/>
    </row>
    <row r="61" ht="21.75" customHeight="1" s="124">
      <c r="B61" s="227">
        <f>IF(C61="","",ROW()-11)</f>
        <v/>
      </c>
      <c r="C61" s="228" t="n"/>
      <c r="D61" s="229" t="n"/>
      <c r="E61" s="230" t="n"/>
      <c r="F61" s="230" t="n"/>
      <c r="G61" s="163" t="n"/>
      <c r="H61" s="229" t="n"/>
      <c r="I61" s="230" t="n"/>
    </row>
    <row r="62" ht="30" customHeight="1" s="124">
      <c r="B62" s="209" t="inlineStr">
        <is>
          <t>SUBTOTAL PENGELUARAN</t>
        </is>
      </c>
      <c r="C62" s="150" t="n"/>
      <c r="D62" s="150" t="n"/>
      <c r="E62" s="150" t="n"/>
      <c r="F62" s="151" t="n"/>
      <c r="G62" s="210">
        <f>SUMIFS(G12:G61,D12:D61,"pengeluaran")</f>
        <v/>
      </c>
      <c r="H62" s="241" t="n"/>
      <c r="I62" s="151" t="n"/>
    </row>
    <row r="64" ht="15" customHeight="1" s="124">
      <c r="B64" s="145" t="inlineStr">
        <is>
          <t>Catatan: Sel BIRU = data dari project_arus_kas WHERE wallet_key='renovasi'. Realisasi di KPI atas dihitung otomatis dari Cashflow Timeline.</t>
        </is>
      </c>
    </row>
  </sheetData>
  <mergeCells count="10">
    <mergeCell ref="B5:D5"/>
    <mergeCell ref="B64:I64"/>
    <mergeCell ref="B62:F62"/>
    <mergeCell ref="B6:D6"/>
    <mergeCell ref="H62:I62"/>
    <mergeCell ref="B2:I2"/>
    <mergeCell ref="B10:I10"/>
    <mergeCell ref="G5:H5"/>
    <mergeCell ref="G6:H6"/>
    <mergeCell ref="B8:I8"/>
  </mergeCells>
  <conditionalFormatting sqref="D12:D61">
    <cfRule type="expression" rank="0" priority="2" equalAverage="0" aboveAverage="0" dxfId="2" text="" percent="0" bottom="0">
      <formula>$D12="pemasukan"</formula>
    </cfRule>
    <cfRule type="expression" rank="0" priority="3" equalAverage="0" aboveAverage="0" dxfId="0" text="" percent="0" bottom="0">
      <formula>$D12="pengeluaran"</formula>
    </cfRule>
  </conditionalFormatting>
  <conditionalFormatting sqref="G12:G61">
    <cfRule type="cellIs" rank="0" priority="4" equalAverage="0" operator="greaterThan" aboveAverage="0" dxfId="3" text="" percent="0" bottom="0">
      <formula>E$5*0.2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B2:I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5" customWidth="1" style="123" min="2" max="2"/>
    <col width="12" customWidth="1" style="123" min="3" max="4"/>
    <col width="18" customWidth="1" style="123" min="5" max="5"/>
    <col width="26" customWidth="1" style="123" min="6" max="6"/>
    <col width="16" customWidth="1" style="123" min="7" max="7"/>
    <col width="12" customWidth="1" style="123" min="8" max="8"/>
    <col width="24" customWidth="1" style="123" min="9" max="9"/>
    <col width="2" customWidth="1" style="123" min="10" max="10"/>
  </cols>
  <sheetData>
    <row r="1" ht="7.5" customHeight="1" s="124"/>
    <row r="2" ht="30" customHeight="1" s="124">
      <c r="B2" s="246" t="inlineStr">
        <is>
          <t>DOMPET CADANGAN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  <c r="H3" s="129" t="n"/>
      <c r="I3" s="129" t="n"/>
    </row>
    <row r="5" ht="25.5" customHeight="1" s="124">
      <c r="B5" s="149" t="inlineStr">
        <is>
          <t>Anggaran</t>
        </is>
      </c>
      <c r="C5" s="150" t="n"/>
      <c r="D5" s="151" t="n"/>
      <c r="E5" s="234" t="n">
        <v>0</v>
      </c>
      <c r="G5" s="235" t="inlineStr">
        <is>
          <t>Sisa</t>
        </is>
      </c>
      <c r="H5" s="151" t="n"/>
      <c r="I5" s="236">
        <f>E5-E6</f>
        <v/>
      </c>
    </row>
    <row r="6" ht="30" customHeight="1" s="124">
      <c r="B6" s="237" t="inlineStr">
        <is>
          <t>Realisasi</t>
        </is>
      </c>
      <c r="C6" s="150" t="n"/>
      <c r="D6" s="151" t="n"/>
      <c r="E6" s="236">
        <f>SUMPRODUCT(('Cashflow Timeline'!H7:H106="cadangan")*('Cashflow Timeline'!E7:E106="pengeluaran")*'Cashflow Timeline'!G7:G106)</f>
        <v/>
      </c>
      <c r="G6" s="238" t="inlineStr">
        <is>
          <t>% Penyerapan</t>
        </is>
      </c>
      <c r="H6" s="151" t="n"/>
      <c r="I6" s="239">
        <f>IFERROR(E6/E5,0)</f>
        <v/>
      </c>
    </row>
    <row r="8" ht="30" customHeight="1" s="124">
      <c r="B8" s="240" t="inlineStr">
        <is>
          <t>Sumber Anggaran: Dana Cadangan / Kontingensi  •  Wallet Key: 'cadangan'  •  Realisasi otomatis dari Cashflow Timeline</t>
        </is>
      </c>
    </row>
    <row r="10" ht="24" customHeight="1" s="124">
      <c r="B10" s="148" t="inlineStr">
        <is>
          <t>▎ DETAIL TRANSAKSI (filter wallet)</t>
        </is>
      </c>
      <c r="C10" s="135" t="n"/>
      <c r="D10" s="135" t="n"/>
      <c r="E10" s="135" t="n"/>
      <c r="F10" s="135" t="n"/>
      <c r="G10" s="135" t="n"/>
      <c r="H10" s="135" t="n"/>
      <c r="I10" s="135" t="n"/>
    </row>
    <row r="11" ht="31.5" customHeight="1" s="124">
      <c r="B11" s="235" t="inlineStr">
        <is>
          <t>No.</t>
        </is>
      </c>
      <c r="C11" s="235" t="inlineStr">
        <is>
          <t>Tanggal</t>
        </is>
      </c>
      <c r="D11" s="235" t="inlineStr">
        <is>
          <t>Jenis</t>
        </is>
      </c>
      <c r="E11" s="235" t="inlineStr">
        <is>
          <t>Kategori</t>
        </is>
      </c>
      <c r="F11" s="235" t="inlineStr">
        <is>
          <t>Judul Transaksi</t>
        </is>
      </c>
      <c r="G11" s="235" t="inlineStr">
        <is>
          <t>Nominal (Rp)</t>
        </is>
      </c>
      <c r="H11" s="235" t="inlineStr">
        <is>
          <t>Status</t>
        </is>
      </c>
      <c r="I11" s="235" t="inlineStr">
        <is>
          <t>Catatan</t>
        </is>
      </c>
    </row>
    <row r="12" ht="21.75" customHeight="1" s="124">
      <c r="B12" s="171">
        <f>IF(C12="","",ROW()-11)</f>
        <v/>
      </c>
      <c r="C12" s="223" t="n"/>
      <c r="D12" s="224" t="n"/>
      <c r="E12" s="225" t="n"/>
      <c r="F12" s="225" t="n"/>
      <c r="G12" s="161" t="n"/>
      <c r="H12" s="224" t="n"/>
      <c r="I12" s="225" t="n"/>
    </row>
    <row r="13" ht="21.75" customHeight="1" s="124">
      <c r="B13" s="227">
        <f>IF(C13="","",ROW()-11)</f>
        <v/>
      </c>
      <c r="C13" s="228" t="n"/>
      <c r="D13" s="229" t="n"/>
      <c r="E13" s="230" t="n"/>
      <c r="F13" s="230" t="n"/>
      <c r="G13" s="163" t="n"/>
      <c r="H13" s="229" t="n"/>
      <c r="I13" s="230" t="n"/>
    </row>
    <row r="14" ht="21.75" customHeight="1" s="124">
      <c r="B14" s="171">
        <f>IF(C14="","",ROW()-11)</f>
        <v/>
      </c>
      <c r="C14" s="223" t="n"/>
      <c r="D14" s="224" t="n"/>
      <c r="E14" s="225" t="n"/>
      <c r="F14" s="225" t="n"/>
      <c r="G14" s="161" t="n"/>
      <c r="H14" s="224" t="n"/>
      <c r="I14" s="225" t="n"/>
    </row>
    <row r="15" ht="21.75" customHeight="1" s="124">
      <c r="B15" s="227">
        <f>IF(C15="","",ROW()-11)</f>
        <v/>
      </c>
      <c r="C15" s="228" t="n"/>
      <c r="D15" s="229" t="n"/>
      <c r="E15" s="230" t="n"/>
      <c r="F15" s="230" t="n"/>
      <c r="G15" s="163" t="n"/>
      <c r="H15" s="229" t="n"/>
      <c r="I15" s="230" t="n"/>
    </row>
    <row r="16" ht="21.75" customHeight="1" s="124">
      <c r="B16" s="171">
        <f>IF(C16="","",ROW()-11)</f>
        <v/>
      </c>
      <c r="C16" s="223" t="n"/>
      <c r="D16" s="224" t="n"/>
      <c r="E16" s="225" t="n"/>
      <c r="F16" s="225" t="n"/>
      <c r="G16" s="161" t="n"/>
      <c r="H16" s="224" t="n"/>
      <c r="I16" s="225" t="n"/>
    </row>
    <row r="17" ht="21.75" customHeight="1" s="124">
      <c r="B17" s="227">
        <f>IF(C17="","",ROW()-11)</f>
        <v/>
      </c>
      <c r="C17" s="228" t="n"/>
      <c r="D17" s="229" t="n"/>
      <c r="E17" s="230" t="n"/>
      <c r="F17" s="230" t="n"/>
      <c r="G17" s="163" t="n"/>
      <c r="H17" s="229" t="n"/>
      <c r="I17" s="230" t="n"/>
    </row>
    <row r="18" ht="21.75" customHeight="1" s="124">
      <c r="B18" s="171">
        <f>IF(C18="","",ROW()-11)</f>
        <v/>
      </c>
      <c r="C18" s="223" t="n"/>
      <c r="D18" s="224" t="n"/>
      <c r="E18" s="225" t="n"/>
      <c r="F18" s="225" t="n"/>
      <c r="G18" s="161" t="n"/>
      <c r="H18" s="224" t="n"/>
      <c r="I18" s="225" t="n"/>
    </row>
    <row r="19" ht="21.75" customHeight="1" s="124">
      <c r="B19" s="227">
        <f>IF(C19="","",ROW()-11)</f>
        <v/>
      </c>
      <c r="C19" s="228" t="n"/>
      <c r="D19" s="229" t="n"/>
      <c r="E19" s="230" t="n"/>
      <c r="F19" s="230" t="n"/>
      <c r="G19" s="163" t="n"/>
      <c r="H19" s="229" t="n"/>
      <c r="I19" s="230" t="n"/>
    </row>
    <row r="20" ht="21.75" customHeight="1" s="124">
      <c r="B20" s="171">
        <f>IF(C20="","",ROW()-11)</f>
        <v/>
      </c>
      <c r="C20" s="223" t="n"/>
      <c r="D20" s="224" t="n"/>
      <c r="E20" s="225" t="n"/>
      <c r="F20" s="225" t="n"/>
      <c r="G20" s="161" t="n"/>
      <c r="H20" s="224" t="n"/>
      <c r="I20" s="225" t="n"/>
    </row>
    <row r="21" ht="21.75" customHeight="1" s="124">
      <c r="B21" s="227">
        <f>IF(C21="","",ROW()-11)</f>
        <v/>
      </c>
      <c r="C21" s="228" t="n"/>
      <c r="D21" s="229" t="n"/>
      <c r="E21" s="230" t="n"/>
      <c r="F21" s="230" t="n"/>
      <c r="G21" s="163" t="n"/>
      <c r="H21" s="229" t="n"/>
      <c r="I21" s="230" t="n"/>
    </row>
    <row r="22" ht="21.75" customHeight="1" s="124">
      <c r="B22" s="171">
        <f>IF(C22="","",ROW()-11)</f>
        <v/>
      </c>
      <c r="C22" s="223" t="n"/>
      <c r="D22" s="224" t="n"/>
      <c r="E22" s="225" t="n"/>
      <c r="F22" s="225" t="n"/>
      <c r="G22" s="161" t="n"/>
      <c r="H22" s="224" t="n"/>
      <c r="I22" s="225" t="n"/>
    </row>
    <row r="23" ht="21.75" customHeight="1" s="124">
      <c r="B23" s="227">
        <f>IF(C23="","",ROW()-11)</f>
        <v/>
      </c>
      <c r="C23" s="228" t="n"/>
      <c r="D23" s="229" t="n"/>
      <c r="E23" s="230" t="n"/>
      <c r="F23" s="230" t="n"/>
      <c r="G23" s="163" t="n"/>
      <c r="H23" s="229" t="n"/>
      <c r="I23" s="230" t="n"/>
    </row>
    <row r="24" ht="21.75" customHeight="1" s="124">
      <c r="B24" s="171">
        <f>IF(C24="","",ROW()-11)</f>
        <v/>
      </c>
      <c r="C24" s="223" t="n"/>
      <c r="D24" s="224" t="n"/>
      <c r="E24" s="225" t="n"/>
      <c r="F24" s="225" t="n"/>
      <c r="G24" s="161" t="n"/>
      <c r="H24" s="224" t="n"/>
      <c r="I24" s="225" t="n"/>
    </row>
    <row r="25" ht="21.75" customHeight="1" s="124">
      <c r="B25" s="227">
        <f>IF(C25="","",ROW()-11)</f>
        <v/>
      </c>
      <c r="C25" s="228" t="n"/>
      <c r="D25" s="229" t="n"/>
      <c r="E25" s="230" t="n"/>
      <c r="F25" s="230" t="n"/>
      <c r="G25" s="163" t="n"/>
      <c r="H25" s="229" t="n"/>
      <c r="I25" s="230" t="n"/>
    </row>
    <row r="26" ht="21.75" customHeight="1" s="124">
      <c r="B26" s="171">
        <f>IF(C26="","",ROW()-11)</f>
        <v/>
      </c>
      <c r="C26" s="223" t="n"/>
      <c r="D26" s="224" t="n"/>
      <c r="E26" s="225" t="n"/>
      <c r="F26" s="225" t="n"/>
      <c r="G26" s="161" t="n"/>
      <c r="H26" s="224" t="n"/>
      <c r="I26" s="225" t="n"/>
    </row>
    <row r="27" ht="21.75" customHeight="1" s="124">
      <c r="B27" s="227">
        <f>IF(C27="","",ROW()-11)</f>
        <v/>
      </c>
      <c r="C27" s="228" t="n"/>
      <c r="D27" s="229" t="n"/>
      <c r="E27" s="230" t="n"/>
      <c r="F27" s="230" t="n"/>
      <c r="G27" s="163" t="n"/>
      <c r="H27" s="229" t="n"/>
      <c r="I27" s="230" t="n"/>
    </row>
    <row r="28" ht="21.75" customHeight="1" s="124">
      <c r="B28" s="171">
        <f>IF(C28="","",ROW()-11)</f>
        <v/>
      </c>
      <c r="C28" s="223" t="n"/>
      <c r="D28" s="224" t="n"/>
      <c r="E28" s="225" t="n"/>
      <c r="F28" s="225" t="n"/>
      <c r="G28" s="161" t="n"/>
      <c r="H28" s="224" t="n"/>
      <c r="I28" s="225" t="n"/>
    </row>
    <row r="29" ht="21.75" customHeight="1" s="124">
      <c r="B29" s="227">
        <f>IF(C29="","",ROW()-11)</f>
        <v/>
      </c>
      <c r="C29" s="228" t="n"/>
      <c r="D29" s="229" t="n"/>
      <c r="E29" s="230" t="n"/>
      <c r="F29" s="230" t="n"/>
      <c r="G29" s="163" t="n"/>
      <c r="H29" s="229" t="n"/>
      <c r="I29" s="230" t="n"/>
    </row>
    <row r="30" ht="21.75" customHeight="1" s="124">
      <c r="B30" s="171">
        <f>IF(C30="","",ROW()-11)</f>
        <v/>
      </c>
      <c r="C30" s="223" t="n"/>
      <c r="D30" s="224" t="n"/>
      <c r="E30" s="225" t="n"/>
      <c r="F30" s="225" t="n"/>
      <c r="G30" s="161" t="n"/>
      <c r="H30" s="224" t="n"/>
      <c r="I30" s="225" t="n"/>
    </row>
    <row r="31" ht="21.75" customHeight="1" s="124">
      <c r="B31" s="227">
        <f>IF(C31="","",ROW()-11)</f>
        <v/>
      </c>
      <c r="C31" s="228" t="n"/>
      <c r="D31" s="229" t="n"/>
      <c r="E31" s="230" t="n"/>
      <c r="F31" s="230" t="n"/>
      <c r="G31" s="163" t="n"/>
      <c r="H31" s="229" t="n"/>
      <c r="I31" s="230" t="n"/>
    </row>
    <row r="32" ht="21.75" customHeight="1" s="124">
      <c r="B32" s="171">
        <f>IF(C32="","",ROW()-11)</f>
        <v/>
      </c>
      <c r="C32" s="223" t="n"/>
      <c r="D32" s="224" t="n"/>
      <c r="E32" s="225" t="n"/>
      <c r="F32" s="225" t="n"/>
      <c r="G32" s="161" t="n"/>
      <c r="H32" s="224" t="n"/>
      <c r="I32" s="225" t="n"/>
    </row>
    <row r="33" ht="21.75" customHeight="1" s="124">
      <c r="B33" s="227">
        <f>IF(C33="","",ROW()-11)</f>
        <v/>
      </c>
      <c r="C33" s="228" t="n"/>
      <c r="D33" s="229" t="n"/>
      <c r="E33" s="230" t="n"/>
      <c r="F33" s="230" t="n"/>
      <c r="G33" s="163" t="n"/>
      <c r="H33" s="229" t="n"/>
      <c r="I33" s="230" t="n"/>
    </row>
    <row r="34" ht="21.75" customHeight="1" s="124">
      <c r="B34" s="171">
        <f>IF(C34="","",ROW()-11)</f>
        <v/>
      </c>
      <c r="C34" s="223" t="n"/>
      <c r="D34" s="224" t="n"/>
      <c r="E34" s="225" t="n"/>
      <c r="F34" s="225" t="n"/>
      <c r="G34" s="161" t="n"/>
      <c r="H34" s="224" t="n"/>
      <c r="I34" s="225" t="n"/>
    </row>
    <row r="35" ht="21.75" customHeight="1" s="124">
      <c r="B35" s="227">
        <f>IF(C35="","",ROW()-11)</f>
        <v/>
      </c>
      <c r="C35" s="228" t="n"/>
      <c r="D35" s="229" t="n"/>
      <c r="E35" s="230" t="n"/>
      <c r="F35" s="230" t="n"/>
      <c r="G35" s="163" t="n"/>
      <c r="H35" s="229" t="n"/>
      <c r="I35" s="230" t="n"/>
    </row>
    <row r="36" ht="21.75" customHeight="1" s="124">
      <c r="B36" s="171">
        <f>IF(C36="","",ROW()-11)</f>
        <v/>
      </c>
      <c r="C36" s="223" t="n"/>
      <c r="D36" s="224" t="n"/>
      <c r="E36" s="225" t="n"/>
      <c r="F36" s="225" t="n"/>
      <c r="G36" s="161" t="n"/>
      <c r="H36" s="224" t="n"/>
      <c r="I36" s="225" t="n"/>
    </row>
    <row r="37" ht="21.75" customHeight="1" s="124">
      <c r="B37" s="227">
        <f>IF(C37="","",ROW()-11)</f>
        <v/>
      </c>
      <c r="C37" s="228" t="n"/>
      <c r="D37" s="229" t="n"/>
      <c r="E37" s="230" t="n"/>
      <c r="F37" s="230" t="n"/>
      <c r="G37" s="163" t="n"/>
      <c r="H37" s="229" t="n"/>
      <c r="I37" s="230" t="n"/>
    </row>
    <row r="38" ht="21.75" customHeight="1" s="124">
      <c r="B38" s="171">
        <f>IF(C38="","",ROW()-11)</f>
        <v/>
      </c>
      <c r="C38" s="223" t="n"/>
      <c r="D38" s="224" t="n"/>
      <c r="E38" s="225" t="n"/>
      <c r="F38" s="225" t="n"/>
      <c r="G38" s="161" t="n"/>
      <c r="H38" s="224" t="n"/>
      <c r="I38" s="225" t="n"/>
    </row>
    <row r="39" ht="21.75" customHeight="1" s="124">
      <c r="B39" s="227">
        <f>IF(C39="","",ROW()-11)</f>
        <v/>
      </c>
      <c r="C39" s="228" t="n"/>
      <c r="D39" s="229" t="n"/>
      <c r="E39" s="230" t="n"/>
      <c r="F39" s="230" t="n"/>
      <c r="G39" s="163" t="n"/>
      <c r="H39" s="229" t="n"/>
      <c r="I39" s="230" t="n"/>
    </row>
    <row r="40" ht="21.75" customHeight="1" s="124">
      <c r="B40" s="171">
        <f>IF(C40="","",ROW()-11)</f>
        <v/>
      </c>
      <c r="C40" s="223" t="n"/>
      <c r="D40" s="224" t="n"/>
      <c r="E40" s="225" t="n"/>
      <c r="F40" s="225" t="n"/>
      <c r="G40" s="161" t="n"/>
      <c r="H40" s="224" t="n"/>
      <c r="I40" s="225" t="n"/>
    </row>
    <row r="41" ht="21.75" customHeight="1" s="124">
      <c r="B41" s="227">
        <f>IF(C41="","",ROW()-11)</f>
        <v/>
      </c>
      <c r="C41" s="228" t="n"/>
      <c r="D41" s="229" t="n"/>
      <c r="E41" s="230" t="n"/>
      <c r="F41" s="230" t="n"/>
      <c r="G41" s="163" t="n"/>
      <c r="H41" s="229" t="n"/>
      <c r="I41" s="230" t="n"/>
    </row>
    <row r="42" ht="21.75" customHeight="1" s="124">
      <c r="B42" s="171">
        <f>IF(C42="","",ROW()-11)</f>
        <v/>
      </c>
      <c r="C42" s="223" t="n"/>
      <c r="D42" s="224" t="n"/>
      <c r="E42" s="225" t="n"/>
      <c r="F42" s="225" t="n"/>
      <c r="G42" s="161" t="n"/>
      <c r="H42" s="224" t="n"/>
      <c r="I42" s="225" t="n"/>
    </row>
    <row r="43" ht="21.75" customHeight="1" s="124">
      <c r="B43" s="227">
        <f>IF(C43="","",ROW()-11)</f>
        <v/>
      </c>
      <c r="C43" s="228" t="n"/>
      <c r="D43" s="229" t="n"/>
      <c r="E43" s="230" t="n"/>
      <c r="F43" s="230" t="n"/>
      <c r="G43" s="163" t="n"/>
      <c r="H43" s="229" t="n"/>
      <c r="I43" s="230" t="n"/>
    </row>
    <row r="44" ht="21.75" customHeight="1" s="124">
      <c r="B44" s="171">
        <f>IF(C44="","",ROW()-11)</f>
        <v/>
      </c>
      <c r="C44" s="223" t="n"/>
      <c r="D44" s="224" t="n"/>
      <c r="E44" s="225" t="n"/>
      <c r="F44" s="225" t="n"/>
      <c r="G44" s="161" t="n"/>
      <c r="H44" s="224" t="n"/>
      <c r="I44" s="225" t="n"/>
    </row>
    <row r="45" ht="21.75" customHeight="1" s="124">
      <c r="B45" s="227">
        <f>IF(C45="","",ROW()-11)</f>
        <v/>
      </c>
      <c r="C45" s="228" t="n"/>
      <c r="D45" s="229" t="n"/>
      <c r="E45" s="230" t="n"/>
      <c r="F45" s="230" t="n"/>
      <c r="G45" s="163" t="n"/>
      <c r="H45" s="229" t="n"/>
      <c r="I45" s="230" t="n"/>
    </row>
    <row r="46" ht="21.75" customHeight="1" s="124">
      <c r="B46" s="171">
        <f>IF(C46="","",ROW()-11)</f>
        <v/>
      </c>
      <c r="C46" s="223" t="n"/>
      <c r="D46" s="224" t="n"/>
      <c r="E46" s="225" t="n"/>
      <c r="F46" s="225" t="n"/>
      <c r="G46" s="161" t="n"/>
      <c r="H46" s="224" t="n"/>
      <c r="I46" s="225" t="n"/>
    </row>
    <row r="47" ht="21.75" customHeight="1" s="124">
      <c r="B47" s="227">
        <f>IF(C47="","",ROW()-11)</f>
        <v/>
      </c>
      <c r="C47" s="228" t="n"/>
      <c r="D47" s="229" t="n"/>
      <c r="E47" s="230" t="n"/>
      <c r="F47" s="230" t="n"/>
      <c r="G47" s="163" t="n"/>
      <c r="H47" s="229" t="n"/>
      <c r="I47" s="230" t="n"/>
    </row>
    <row r="48" ht="21.75" customHeight="1" s="124">
      <c r="B48" s="171">
        <f>IF(C48="","",ROW()-11)</f>
        <v/>
      </c>
      <c r="C48" s="223" t="n"/>
      <c r="D48" s="224" t="n"/>
      <c r="E48" s="225" t="n"/>
      <c r="F48" s="225" t="n"/>
      <c r="G48" s="161" t="n"/>
      <c r="H48" s="224" t="n"/>
      <c r="I48" s="225" t="n"/>
    </row>
    <row r="49" ht="21.75" customHeight="1" s="124">
      <c r="B49" s="227">
        <f>IF(C49="","",ROW()-11)</f>
        <v/>
      </c>
      <c r="C49" s="228" t="n"/>
      <c r="D49" s="229" t="n"/>
      <c r="E49" s="230" t="n"/>
      <c r="F49" s="230" t="n"/>
      <c r="G49" s="163" t="n"/>
      <c r="H49" s="229" t="n"/>
      <c r="I49" s="230" t="n"/>
    </row>
    <row r="50" ht="21.75" customHeight="1" s="124">
      <c r="B50" s="171">
        <f>IF(C50="","",ROW()-11)</f>
        <v/>
      </c>
      <c r="C50" s="223" t="n"/>
      <c r="D50" s="224" t="n"/>
      <c r="E50" s="225" t="n"/>
      <c r="F50" s="225" t="n"/>
      <c r="G50" s="161" t="n"/>
      <c r="H50" s="224" t="n"/>
      <c r="I50" s="225" t="n"/>
    </row>
    <row r="51" ht="21.75" customHeight="1" s="124">
      <c r="B51" s="227">
        <f>IF(C51="","",ROW()-11)</f>
        <v/>
      </c>
      <c r="C51" s="228" t="n"/>
      <c r="D51" s="229" t="n"/>
      <c r="E51" s="230" t="n"/>
      <c r="F51" s="230" t="n"/>
      <c r="G51" s="163" t="n"/>
      <c r="H51" s="229" t="n"/>
      <c r="I51" s="230" t="n"/>
    </row>
    <row r="52" ht="21.75" customHeight="1" s="124">
      <c r="B52" s="171">
        <f>IF(C52="","",ROW()-11)</f>
        <v/>
      </c>
      <c r="C52" s="223" t="n"/>
      <c r="D52" s="224" t="n"/>
      <c r="E52" s="225" t="n"/>
      <c r="F52" s="225" t="n"/>
      <c r="G52" s="161" t="n"/>
      <c r="H52" s="224" t="n"/>
      <c r="I52" s="225" t="n"/>
    </row>
    <row r="53" ht="21.75" customHeight="1" s="124">
      <c r="B53" s="227">
        <f>IF(C53="","",ROW()-11)</f>
        <v/>
      </c>
      <c r="C53" s="228" t="n"/>
      <c r="D53" s="229" t="n"/>
      <c r="E53" s="230" t="n"/>
      <c r="F53" s="230" t="n"/>
      <c r="G53" s="163" t="n"/>
      <c r="H53" s="229" t="n"/>
      <c r="I53" s="230" t="n"/>
    </row>
    <row r="54" ht="21.75" customHeight="1" s="124">
      <c r="B54" s="171">
        <f>IF(C54="","",ROW()-11)</f>
        <v/>
      </c>
      <c r="C54" s="223" t="n"/>
      <c r="D54" s="224" t="n"/>
      <c r="E54" s="225" t="n"/>
      <c r="F54" s="225" t="n"/>
      <c r="G54" s="161" t="n"/>
      <c r="H54" s="224" t="n"/>
      <c r="I54" s="225" t="n"/>
    </row>
    <row r="55" ht="21.75" customHeight="1" s="124">
      <c r="B55" s="227">
        <f>IF(C55="","",ROW()-11)</f>
        <v/>
      </c>
      <c r="C55" s="228" t="n"/>
      <c r="D55" s="229" t="n"/>
      <c r="E55" s="230" t="n"/>
      <c r="F55" s="230" t="n"/>
      <c r="G55" s="163" t="n"/>
      <c r="H55" s="229" t="n"/>
      <c r="I55" s="230" t="n"/>
    </row>
    <row r="56" ht="21.75" customHeight="1" s="124">
      <c r="B56" s="171">
        <f>IF(C56="","",ROW()-11)</f>
        <v/>
      </c>
      <c r="C56" s="223" t="n"/>
      <c r="D56" s="224" t="n"/>
      <c r="E56" s="225" t="n"/>
      <c r="F56" s="225" t="n"/>
      <c r="G56" s="161" t="n"/>
      <c r="H56" s="224" t="n"/>
      <c r="I56" s="225" t="n"/>
    </row>
    <row r="57" ht="21.75" customHeight="1" s="124">
      <c r="B57" s="227">
        <f>IF(C57="","",ROW()-11)</f>
        <v/>
      </c>
      <c r="C57" s="228" t="n"/>
      <c r="D57" s="229" t="n"/>
      <c r="E57" s="230" t="n"/>
      <c r="F57" s="230" t="n"/>
      <c r="G57" s="163" t="n"/>
      <c r="H57" s="229" t="n"/>
      <c r="I57" s="230" t="n"/>
    </row>
    <row r="58" ht="21.75" customHeight="1" s="124">
      <c r="B58" s="171">
        <f>IF(C58="","",ROW()-11)</f>
        <v/>
      </c>
      <c r="C58" s="223" t="n"/>
      <c r="D58" s="224" t="n"/>
      <c r="E58" s="225" t="n"/>
      <c r="F58" s="225" t="n"/>
      <c r="G58" s="161" t="n"/>
      <c r="H58" s="224" t="n"/>
      <c r="I58" s="225" t="n"/>
    </row>
    <row r="59" ht="21.75" customHeight="1" s="124">
      <c r="B59" s="227">
        <f>IF(C59="","",ROW()-11)</f>
        <v/>
      </c>
      <c r="C59" s="228" t="n"/>
      <c r="D59" s="229" t="n"/>
      <c r="E59" s="230" t="n"/>
      <c r="F59" s="230" t="n"/>
      <c r="G59" s="163" t="n"/>
      <c r="H59" s="229" t="n"/>
      <c r="I59" s="230" t="n"/>
    </row>
    <row r="60" ht="21.75" customHeight="1" s="124">
      <c r="B60" s="171">
        <f>IF(C60="","",ROW()-11)</f>
        <v/>
      </c>
      <c r="C60" s="223" t="n"/>
      <c r="D60" s="224" t="n"/>
      <c r="E60" s="225" t="n"/>
      <c r="F60" s="225" t="n"/>
      <c r="G60" s="161" t="n"/>
      <c r="H60" s="224" t="n"/>
      <c r="I60" s="225" t="n"/>
    </row>
    <row r="61" ht="21.75" customHeight="1" s="124">
      <c r="B61" s="227">
        <f>IF(C61="","",ROW()-11)</f>
        <v/>
      </c>
      <c r="C61" s="228" t="n"/>
      <c r="D61" s="229" t="n"/>
      <c r="E61" s="230" t="n"/>
      <c r="F61" s="230" t="n"/>
      <c r="G61" s="163" t="n"/>
      <c r="H61" s="229" t="n"/>
      <c r="I61" s="230" t="n"/>
    </row>
    <row r="62" ht="30" customHeight="1" s="124">
      <c r="B62" s="209" t="inlineStr">
        <is>
          <t>SUBTOTAL PENGELUARAN</t>
        </is>
      </c>
      <c r="C62" s="150" t="n"/>
      <c r="D62" s="150" t="n"/>
      <c r="E62" s="150" t="n"/>
      <c r="F62" s="151" t="n"/>
      <c r="G62" s="210">
        <f>SUMIFS(G12:G61,D12:D61,"pengeluaran")</f>
        <v/>
      </c>
      <c r="H62" s="241" t="n"/>
      <c r="I62" s="151" t="n"/>
    </row>
    <row r="64" ht="15" customHeight="1" s="124">
      <c r="B64" s="145" t="inlineStr">
        <is>
          <t>Catatan: Sel BIRU = data dari project_arus_kas WHERE wallet_key='cadangan'. Realisasi di KPI atas dihitung otomatis dari Cashflow Timeline.</t>
        </is>
      </c>
    </row>
  </sheetData>
  <mergeCells count="10">
    <mergeCell ref="B5:D5"/>
    <mergeCell ref="B64:I64"/>
    <mergeCell ref="B62:F62"/>
    <mergeCell ref="B6:D6"/>
    <mergeCell ref="H62:I62"/>
    <mergeCell ref="B2:I2"/>
    <mergeCell ref="B10:I10"/>
    <mergeCell ref="G5:H5"/>
    <mergeCell ref="G6:H6"/>
    <mergeCell ref="B8:I8"/>
  </mergeCells>
  <conditionalFormatting sqref="D12:D61">
    <cfRule type="expression" rank="0" priority="2" equalAverage="0" aboveAverage="0" dxfId="2" text="" percent="0" bottom="0">
      <formula>$D12="pemasukan"</formula>
    </cfRule>
    <cfRule type="expression" rank="0" priority="3" equalAverage="0" aboveAverage="0" dxfId="0" text="" percent="0" bottom="0">
      <formula>$D12="pengeluaran"</formula>
    </cfRule>
  </conditionalFormatting>
  <conditionalFormatting sqref="G12:G61">
    <cfRule type="cellIs" rank="0" priority="4" equalAverage="0" operator="greaterThan" aboveAverage="0" dxfId="3" text="" percent="0" bottom="0">
      <formula>E$5*0.2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8B6F0E"/>
    <outlinePr summaryBelow="1" summaryRight="1"/>
    <pageSetUpPr fitToPage="1"/>
  </sheetPr>
  <dimension ref="B2:G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26" customWidth="1" style="123" min="2" max="2"/>
    <col width="18" customWidth="1" style="123" min="3" max="3"/>
    <col width="14" customWidth="1" style="123" min="4" max="4"/>
    <col width="4" customWidth="1" style="123" min="5" max="5"/>
    <col width="22" customWidth="1" style="123" min="6" max="7"/>
    <col width="2" customWidth="1" style="123" min="8" max="8"/>
  </cols>
  <sheetData>
    <row r="1" ht="7.5" customHeight="1" s="124"/>
    <row r="2" ht="30" customHeight="1" s="124">
      <c r="B2" s="147" t="inlineStr">
        <is>
          <t>BREAKDOWN PENGELUARAN PER KATEGORI</t>
        </is>
      </c>
    </row>
    <row r="3" ht="3.75" customHeight="1" s="124">
      <c r="B3" s="129" t="n"/>
      <c r="C3" s="129" t="n"/>
      <c r="D3" s="129" t="n"/>
      <c r="E3" s="129" t="n"/>
      <c r="F3" s="129" t="n"/>
      <c r="G3" s="129" t="n"/>
    </row>
    <row r="4" ht="21.75" customHeight="1" s="124">
      <c r="B4" s="145" t="inlineStr">
        <is>
          <t>Otomatis terhitung dari Cashflow Timeline (jenis = pengeluaran)</t>
        </is>
      </c>
    </row>
    <row r="6" ht="31.5" customHeight="1" s="124">
      <c r="B6" s="149" t="inlineStr">
        <is>
          <t>Kategori</t>
        </is>
      </c>
      <c r="C6" s="149" t="inlineStr">
        <is>
          <t>Total Pengeluaran (Rp)</t>
        </is>
      </c>
      <c r="D6" s="149" t="inlineStr">
        <is>
          <t>% dari Total</t>
        </is>
      </c>
    </row>
    <row r="7" ht="21.75" customHeight="1" s="124">
      <c r="B7" s="175" t="inlineStr">
        <is>
          <t>Pendanaan Investor</t>
        </is>
      </c>
      <c r="C7" s="176">
        <f>SUMPRODUCT(('Cashflow Timeline'!F7:F106="pendanaan_investor")*('Cashflow Timeline'!E7:E106="pengeluaran")*'Cashflow Timeline'!G7:G106)</f>
        <v/>
      </c>
      <c r="D7" s="155">
        <f>IFERROR(C7/$C$18,0)</f>
        <v/>
      </c>
    </row>
    <row r="8" ht="21.75" customHeight="1" s="124">
      <c r="B8" s="177" t="inlineStr">
        <is>
          <t>Modal Internal</t>
        </is>
      </c>
      <c r="C8" s="178">
        <f>SUMPRODUCT(('Cashflow Timeline'!F7:F106="modal_internal")*('Cashflow Timeline'!E7:E106="pengeluaran")*'Cashflow Timeline'!G7:G106)</f>
        <v/>
      </c>
      <c r="D8" s="159">
        <f>IFERROR(C8/$C$18,0)</f>
        <v/>
      </c>
    </row>
    <row r="9" ht="21.75" customHeight="1" s="124">
      <c r="B9" s="175" t="inlineStr">
        <is>
          <t>Pengembalian Modal</t>
        </is>
      </c>
      <c r="C9" s="176">
        <f>SUMPRODUCT(('Cashflow Timeline'!F7:F106="pengembalian_modal")*('Cashflow Timeline'!E7:E106="pengeluaran")*'Cashflow Timeline'!G7:G106)</f>
        <v/>
      </c>
      <c r="D9" s="155">
        <f>IFERROR(C9/$C$18,0)</f>
        <v/>
      </c>
    </row>
    <row r="10" ht="21.75" customHeight="1" s="124">
      <c r="B10" s="177" t="inlineStr">
        <is>
          <t>Pembayaran Lelang</t>
        </is>
      </c>
      <c r="C10" s="178">
        <f>SUMPRODUCT(('Cashflow Timeline'!F7:F106="bayar_lelang")*('Cashflow Timeline'!E7:E106="pengeluaran")*'Cashflow Timeline'!G7:G106)</f>
        <v/>
      </c>
      <c r="D10" s="159">
        <f>IFERROR(C10/$C$18,0)</f>
        <v/>
      </c>
    </row>
    <row r="11" ht="21.75" customHeight="1" s="124">
      <c r="B11" s="175" t="inlineStr">
        <is>
          <t>Biaya Eksekusi</t>
        </is>
      </c>
      <c r="C11" s="176">
        <f>SUMPRODUCT(('Cashflow Timeline'!F7:F106="biaya_eksekusi")*('Cashflow Timeline'!E7:E106="pengeluaran")*'Cashflow Timeline'!G7:G106)</f>
        <v/>
      </c>
      <c r="D11" s="155">
        <f>IFERROR(C11/$C$18,0)</f>
        <v/>
      </c>
    </row>
    <row r="12" ht="21.75" customHeight="1" s="124">
      <c r="B12" s="177" t="inlineStr">
        <is>
          <t>Balik Nama</t>
        </is>
      </c>
      <c r="C12" s="178">
        <f>SUMPRODUCT(('Cashflow Timeline'!F7:F106="balik_nama")*('Cashflow Timeline'!E7:E106="pengeluaran")*'Cashflow Timeline'!G7:G106)</f>
        <v/>
      </c>
      <c r="D12" s="159">
        <f>IFERROR(C12/$C$18,0)</f>
        <v/>
      </c>
    </row>
    <row r="13" ht="21.75" customHeight="1" s="124">
      <c r="B13" s="175" t="inlineStr">
        <is>
          <t>Renovasi</t>
        </is>
      </c>
      <c r="C13" s="176">
        <f>SUMPRODUCT(('Cashflow Timeline'!F7:F106="renovasi")*('Cashflow Timeline'!E7:E106="pengeluaran")*'Cashflow Timeline'!G7:G106)</f>
        <v/>
      </c>
      <c r="D13" s="155">
        <f>IFERROR(C13/$C$18,0)</f>
        <v/>
      </c>
    </row>
    <row r="14" ht="21.75" customHeight="1" s="124">
      <c r="B14" s="177" t="inlineStr">
        <is>
          <t>Operasional</t>
        </is>
      </c>
      <c r="C14" s="178">
        <f>SUMPRODUCT(('Cashflow Timeline'!F7:F106="operasional")*('Cashflow Timeline'!E7:E106="pengeluaran")*'Cashflow Timeline'!G7:G106)</f>
        <v/>
      </c>
      <c r="D14" s="159">
        <f>IFERROR(C14/$C$18,0)</f>
        <v/>
      </c>
    </row>
    <row r="15" ht="21.75" customHeight="1" s="124">
      <c r="B15" s="175" t="inlineStr">
        <is>
          <t>Pengeluaran Lainnya</t>
        </is>
      </c>
      <c r="C15" s="176">
        <f>SUMPRODUCT(('Cashflow Timeline'!F7:F106="pengeluaran_lain")*('Cashflow Timeline'!E7:E106="pengeluaran")*'Cashflow Timeline'!G7:G106)</f>
        <v/>
      </c>
      <c r="D15" s="155">
        <f>IFERROR(C15/$C$18,0)</f>
        <v/>
      </c>
    </row>
    <row r="16" ht="21.75" customHeight="1" s="124">
      <c r="B16" s="177" t="inlineStr">
        <is>
          <t>Penjualan Properti</t>
        </is>
      </c>
      <c r="C16" s="178">
        <f>SUMPRODUCT(('Cashflow Timeline'!F7:F106="pemasukan_penjualan")*('Cashflow Timeline'!E7:E106="pengeluaran")*'Cashflow Timeline'!G7:G106)</f>
        <v/>
      </c>
      <c r="D16" s="159">
        <f>IFERROR(C16/$C$18,0)</f>
        <v/>
      </c>
    </row>
    <row r="17" ht="21.75" customHeight="1" s="124">
      <c r="B17" s="175" t="inlineStr">
        <is>
          <t>Pemasukan Lainnya</t>
        </is>
      </c>
      <c r="C17" s="176">
        <f>SUMPRODUCT(('Cashflow Timeline'!F7:F106="pemasukan_lain")*('Cashflow Timeline'!E7:E106="pengeluaran")*'Cashflow Timeline'!G7:G106)</f>
        <v/>
      </c>
      <c r="D17" s="155">
        <f>IFERROR(C17/$C$18,0)</f>
        <v/>
      </c>
    </row>
    <row r="18" ht="27.75" customHeight="1" s="124">
      <c r="B18" s="167" t="inlineStr">
        <is>
          <t>TOTAL PENGELUARAN</t>
        </is>
      </c>
      <c r="C18" s="220">
        <f>SUM(C7:C17)</f>
        <v/>
      </c>
      <c r="D18" s="209" t="inlineStr">
        <is>
          <t>100.0%</t>
        </is>
      </c>
    </row>
  </sheetData>
  <mergeCells count="2">
    <mergeCell ref="B2:G2"/>
    <mergeCell ref="B4:G4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595959"/>
    <outlinePr summaryBelow="1" summaryRight="1"/>
    <pageSetUpPr fitToPage="1"/>
  </sheetPr>
  <dimension ref="B2:D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3" min="1" max="1"/>
    <col width="6" customWidth="1" style="123" min="2" max="2"/>
    <col width="90" customWidth="1" style="123" min="3" max="3"/>
    <col width="4" customWidth="1" style="123" min="4" max="4"/>
    <col width="2" customWidth="1" style="123" min="5" max="5"/>
  </cols>
  <sheetData>
    <row r="1" ht="7.5" customHeight="1" s="124"/>
    <row r="2" ht="30" customHeight="1" s="124">
      <c r="B2" s="222" t="inlineStr">
        <is>
          <t>PETUNJUK PENGGUNAAN TEMPLATE</t>
        </is>
      </c>
    </row>
    <row r="3" ht="3.75" customHeight="1" s="124">
      <c r="B3" s="129" t="n"/>
      <c r="C3" s="129" t="n"/>
      <c r="D3" s="129" t="n"/>
    </row>
    <row r="5" ht="24" customHeight="1" s="124">
      <c r="B5" s="247" t="inlineStr">
        <is>
          <t>▸</t>
        </is>
      </c>
      <c r="C5" s="248" t="inlineStr">
        <is>
          <t>Cover</t>
        </is>
      </c>
    </row>
    <row r="6" ht="60" customHeight="1" s="124">
      <c r="C6" s="249" t="inlineStr">
        <is>
          <t>Halaman identitas. Diisi dari tabel project. KPI di bawah otomatis dari sheet Profil Proyek.</t>
        </is>
      </c>
    </row>
    <row r="8" ht="24" customHeight="1" s="124">
      <c r="B8" s="247" t="inlineStr">
        <is>
          <t>▸</t>
        </is>
      </c>
      <c r="C8" s="248" t="inlineStr">
        <is>
          <t>Profil Proyek</t>
        </is>
      </c>
    </row>
    <row r="9" ht="60" customHeight="1" s="124">
      <c r="C9" s="249" t="inlineStr">
        <is>
          <t>Detail valuasi &amp; breakdown biaya akuisisi dari tabel project. Lengkap dengan chart ROI dan 3 KPI Margin/ROI/Markup.</t>
        </is>
      </c>
    </row>
    <row r="11" ht="24" customHeight="1" s="124">
      <c r="B11" s="247" t="inlineStr">
        <is>
          <t>▸</t>
        </is>
      </c>
      <c r="C11" s="248" t="inlineStr">
        <is>
          <t>Ringkasan Eksekutif</t>
        </is>
      </c>
    </row>
    <row r="12" ht="60" customHeight="1" s="124">
      <c r="C12" s="249" t="inlineStr">
        <is>
          <t>Halaman utama investor. 4 KPI Anggaran + 3 KPI Cashflow + ringkasan per dompet dengan status otomatis. Catatan manajemen otomatis terisi.</t>
        </is>
      </c>
    </row>
    <row r="14" ht="24" customHeight="1" s="124">
      <c r="B14" s="247" t="inlineStr">
        <is>
          <t>▸</t>
        </is>
      </c>
      <c r="C14" s="248" t="inlineStr">
        <is>
          <t>Anggaran vs Realisasi</t>
        </is>
      </c>
    </row>
    <row r="15" ht="60" customHeight="1" s="124">
      <c r="C15" s="249" t="inlineStr">
        <is>
          <t>Analisis varians 4 dompet + 2 chart (Bar comparison &amp; Pie komposisi).</t>
        </is>
      </c>
    </row>
    <row r="17" ht="24" customHeight="1" s="124">
      <c r="B17" s="247" t="inlineStr">
        <is>
          <t>▸</t>
        </is>
      </c>
      <c r="C17" s="248" t="inlineStr">
        <is>
          <t>Cashflow Timeline</t>
        </is>
      </c>
    </row>
    <row r="18" ht="60" customHeight="1" s="124">
      <c r="C18" s="249" t="inlineStr">
        <is>
          <t>MASTER TABLE — semua transaksi dari project_arus_kas, kronologis. 100 baris siap pakai. Saldo Berjalan otomatis. Mapping kolom di footer.</t>
        </is>
      </c>
    </row>
    <row r="20" ht="24" customHeight="1" s="124">
      <c r="B20" s="247" t="inlineStr">
        <is>
          <t>▸</t>
        </is>
      </c>
      <c r="C20" s="248" t="inlineStr">
        <is>
          <t>Dompet Utama / Dokumen / Renovasi / Cadangan</t>
        </is>
      </c>
    </row>
    <row r="21" ht="60" customHeight="1" s="124">
      <c r="C21" s="249" t="inlineStr">
        <is>
          <t>Detail per dompet. Anggaran (E5) diisi dari mapping (Utama=limit+spare+eksekusi, Dokumen=balik_nama, Renovasi=biaya_renov, Cadangan=dana_cadangan). Realisasi otomatis dari Cashflow Timeline filter wallet_key.</t>
        </is>
      </c>
    </row>
    <row r="23" ht="24" customHeight="1" s="124">
      <c r="B23" s="247" t="inlineStr">
        <is>
          <t>▸</t>
        </is>
      </c>
      <c r="C23" s="248" t="inlineStr">
        <is>
          <t>Breakdown Kategori</t>
        </is>
      </c>
    </row>
    <row r="24" ht="60" customHeight="1" s="124">
      <c r="C24" s="249" t="inlineStr">
        <is>
          <t>Pie chart komposisi pengeluaran per kategori_transaksi. Otomatis dari Cashflow Timeline.</t>
        </is>
      </c>
    </row>
    <row r="26" ht="24" customHeight="1" s="124">
      <c r="B26" s="247" t="inlineStr">
        <is>
          <t>▸</t>
        </is>
      </c>
      <c r="C26" s="248" t="inlineStr">
        <is>
          <t>Color Coding</t>
        </is>
      </c>
    </row>
    <row r="27" ht="60" customHeight="1" s="124">
      <c r="C27" s="249" t="inlineStr">
        <is>
          <t>Sel BIRU = data dari database. Sel HITAM = formula otomatis. Status: HIJAU=Aman (&lt;90%), KUNING=Waspada (90-100%), MERAH=Over Budget (&gt;100%). Jenis: HIJAU=pemasukan, MERAH=pengeluaran.</t>
        </is>
      </c>
    </row>
    <row r="29" ht="24" customHeight="1" s="124">
      <c r="B29" s="247" t="inlineStr">
        <is>
          <t>▸</t>
        </is>
      </c>
      <c r="C29" s="248" t="inlineStr">
        <is>
          <t>Untuk Pengembang Program — Mapping Export</t>
        </is>
      </c>
    </row>
    <row r="30" ht="60" customHeight="1" s="124">
      <c r="C30" s="249" t="inlineStr">
        <is>
          <t>(1) Cover D9 = id_project. (2) Profil Proyek D9-D11 = harga_pembelian, estimasi_harga_jual, estimasi_profit_bersih. D15-D20 = nilai_limit_lelang, spare_bidding, biaya_eksekusi, biaya_balik_nama, biaya_renov, dana_cadangan. D24-D25 = target_pendanaan, total_pendanaan. (3) Setiap 'Dompet [Nama]'!E5 = jumlah komponen biaya sesuai mapping. (4) Cashflow Timeline rows 7-106 = SELECT * FROM project_arus_kas WHERE id_project=? ORDER BY tanggal_transaksi ASC.</t>
        </is>
      </c>
    </row>
  </sheetData>
  <mergeCells count="1">
    <mergeCell ref="B2:D2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2026-04-27T12:03:59Z</dcterms:created>
  <dcterms:modified xmlns:dcterms="http://purl.org/dc/terms/" xmlns:xsi="http://www.w3.org/2001/XMLSchema-instance" xsi:type="dcterms:W3CDTF">2026-04-30T07:45:57Z</dcterms:modified>
  <cp:revision>2</cp:revision>
</cp:coreProperties>
</file>