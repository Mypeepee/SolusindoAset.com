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rofil Proyek" sheetId="2" state="visible" r:id="rId4"/>
    <sheet name="Ringkasan Eksekutif" sheetId="3" state="visible" r:id="rId5"/>
    <sheet name="Anggaran vs Realisasi" sheetId="4" state="visible" r:id="rId6"/>
    <sheet name="Cashflow Timeline" sheetId="5" state="visible" r:id="rId7"/>
    <sheet name="Dompet Utama" sheetId="6" state="visible" r:id="rId8"/>
    <sheet name="Dompet Dokumen" sheetId="7" state="visible" r:id="rId9"/>
    <sheet name="Dompet Eksekusi" sheetId="12" r:id="rId15"/>
    <sheet name="Dompet Renovasi" sheetId="8" state="visible" r:id="rId10"/>
    <sheet name="Dompet Cadangan" sheetId="9" state="visible" r:id="rId11"/>
    <sheet name="Breakdown Kategori" sheetId="10" state="visible" r:id="rId12"/>
    <sheet name="Petunjuk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Diisi dari mapping: Limit Lelang + Spare Bidding + Biaya Eksekusi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Diisi dari mapping: Biaya Balik Nama (Notaris, BPN, Pajak)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Diisi dari mapping: Renovasi &amp; Peningkatan Properti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Diisi dari mapping: Dana Cadangan / Kontingensi</t>
        </r>
      </text>
    </comment>
  </commentList>
</comments>
</file>

<file path=xl/sharedStrings.xml><?xml version="1.0" encoding="utf-8"?>
<sst xmlns="http://schemas.openxmlformats.org/spreadsheetml/2006/main">
  <si>
    <t xml:space="preserve">SOLUSINDO PREMIER</t>
  </si>
  <si>
    <t xml:space="preserve">LAPORAN KEUANGAN PROYEK LELANG</t>
  </si>
  <si>
    <t xml:space="preserve">Untuk Pemegang Saham &amp; Investor</t>
  </si>
  <si>
    <t xml:space="preserve">ID PROYEK</t>
  </si>
  <si>
    <t xml:space="preserve">[FLPxxxx]</t>
  </si>
  <si>
    <t xml:space="preserve">IDENTITAS PROYEK</t>
  </si>
  <si>
    <t xml:space="preserve">Nama Proyek</t>
  </si>
  <si>
    <t xml:space="preserve">[nama_project]</t>
  </si>
  <si>
    <t xml:space="preserve">Alamat Properti</t>
  </si>
  <si>
    <t xml:space="preserve">[alamat_property]</t>
  </si>
  <si>
    <t xml:space="preserve">Lokasi</t>
  </si>
  <si>
    <t xml:space="preserve">[kota, kecamatan, kelurahan, provinsi]</t>
  </si>
  <si>
    <t xml:space="preserve">Tanggal Pembelian</t>
  </si>
  <si>
    <t xml:space="preserve">[tanggal_pembelian]</t>
  </si>
  <si>
    <t xml:space="preserve">Tanggal Mulai</t>
  </si>
  <si>
    <t xml:space="preserve">[mulai_tanggal]</t>
  </si>
  <si>
    <t xml:space="preserve">Estimasi Selesai</t>
  </si>
  <si>
    <t xml:space="preserve">[estimasi_selesai]</t>
  </si>
  <si>
    <t xml:space="preserve">Estimasi Durasi</t>
  </si>
  <si>
    <t xml:space="preserve">[estimasi_bulan (bulan)]</t>
  </si>
  <si>
    <t xml:space="preserve">Status Proyek</t>
  </si>
  <si>
    <t xml:space="preserve">[status]</t>
  </si>
  <si>
    <t xml:space="preserve">Jenis Pendanaan</t>
  </si>
  <si>
    <t xml:space="preserve">[jenis_pendanaan]</t>
  </si>
  <si>
    <t xml:space="preserve">Penanggung Jawab</t>
  </si>
  <si>
    <t xml:space="preserve">[dibuat_oleh (Agent)]</t>
  </si>
  <si>
    <t xml:space="preserve">RINGKASAN INVESTASI</t>
  </si>
  <si>
    <t xml:space="preserve">Harga Pembelian</t>
  </si>
  <si>
    <t xml:space="preserve">Estimasi Harga Jual</t>
  </si>
  <si>
    <t xml:space="preserve">Estimasi Profit Bersih</t>
  </si>
  <si>
    <t xml:space="preserve">Dokumen ini bersifat rahasia dan diperuntukkan bagi pemegang saham, investor, dan manajemen Solusindo Premier.</t>
  </si>
  <si>
    <t xml:space="preserve">Sel berwarna BIRU adalah data export dari database. Sel HITAM adalah hasil kalkulasi otomatis.</t>
  </si>
  <si>
    <t xml:space="preserve">PROFIL &amp; VALUASI PROYEK</t>
  </si>
  <si>
    <t xml:space="preserve">▎ VALUASI PROPERTI</t>
  </si>
  <si>
    <t xml:space="preserve">Komponen</t>
  </si>
  <si>
    <t xml:space="preserve">Field Database</t>
  </si>
  <si>
    <t xml:space="preserve">Nilai (Rp)</t>
  </si>
  <si>
    <t xml:space="preserve">% dari Harga Jual</t>
  </si>
  <si>
    <t xml:space="preserve">Harga Pembelian Properti</t>
  </si>
  <si>
    <t xml:space="preserve">harga_pembelian</t>
  </si>
  <si>
    <t xml:space="preserve">estimasi_harga_jual</t>
  </si>
  <si>
    <t xml:space="preserve">estimasi_profit_bersih</t>
  </si>
  <si>
    <t xml:space="preserve">▎ BREAKDOWN BIAYA AKUISISI</t>
  </si>
  <si>
    <t xml:space="preserve">Komponen Biaya</t>
  </si>
  <si>
    <t xml:space="preserve">% Komposisi</t>
  </si>
  <si>
    <t xml:space="preserve">  ● Nilai Limit Lelang</t>
  </si>
  <si>
    <t xml:space="preserve">nilai_limit_lelang  →  Utama</t>
  </si>
  <si>
    <t xml:space="preserve">  ● Spare Bidding</t>
  </si>
  <si>
    <t xml:space="preserve">spare_bidding  →  Utama</t>
  </si>
  <si>
    <t xml:space="preserve">  ● Biaya Eksekusi</t>
  </si>
  <si>
    <t xml:space="preserve">biaya_eksekusi  →  Utama</t>
  </si>
  <si>
    <t xml:space="preserve">  ● Biaya Balik Nama</t>
  </si>
  <si>
    <t xml:space="preserve">biaya_balik_nama  →  Dokumen</t>
  </si>
  <si>
    <t xml:space="preserve">  ● Biaya Renovasi</t>
  </si>
  <si>
    <t xml:space="preserve">biaya_renov  →  Renovasi</t>
  </si>
  <si>
    <t xml:space="preserve">  ● Dana Cadangan</t>
  </si>
  <si>
    <t xml:space="preserve">dana_cadangan  →  Cadangan</t>
  </si>
  <si>
    <t xml:space="preserve">TOTAL BIAYA AKUISISI</t>
  </si>
  <si>
    <t xml:space="preserve">total_biaya_akuisisi</t>
  </si>
  <si>
    <t xml:space="preserve">100.0%</t>
  </si>
  <si>
    <t xml:space="preserve">▎ STATUS PENDANAAN</t>
  </si>
  <si>
    <t xml:space="preserve">% Pencapaian</t>
  </si>
  <si>
    <t xml:space="preserve">Target Pendanaan</t>
  </si>
  <si>
    <t xml:space="preserve">target_pendanaan</t>
  </si>
  <si>
    <t xml:space="preserve">Total Pendanaan Terkumpul</t>
  </si>
  <si>
    <t xml:space="preserve">total_pendanaan</t>
  </si>
  <si>
    <t xml:space="preserve">Selisih (Gap Pendanaan)</t>
  </si>
  <si>
    <t xml:space="preserve">Target − Terkumpul (otomatis)</t>
  </si>
  <si>
    <t xml:space="preserve">▎ PROYEKSI ROI</t>
  </si>
  <si>
    <t xml:space="preserve">Total Biaya Akuisisi</t>
  </si>
  <si>
    <t xml:space="preserve">Estimasi Profit</t>
  </si>
  <si>
    <t xml:space="preserve">ROI %</t>
  </si>
  <si>
    <t xml:space="preserve">Margin Jual</t>
  </si>
  <si>
    <t xml:space="preserve">Markup</t>
  </si>
  <si>
    <t xml:space="preserve">RINGKASAN EKSEKUTIF</t>
  </si>
  <si>
    <t xml:space="preserve">TOTAL ANGGARAN</t>
  </si>
  <si>
    <t xml:space="preserve">TOTAL REALISASI</t>
  </si>
  <si>
    <t xml:space="preserve">% PENYERAPAN</t>
  </si>
  <si>
    <t xml:space="preserve">SISA ANGGARAN</t>
  </si>
  <si>
    <t xml:space="preserve">Plafon disetujui</t>
  </si>
  <si>
    <t xml:space="preserve">Pengeluaran aktual</t>
  </si>
  <si>
    <t xml:space="preserve">Realisasi / Anggaran</t>
  </si>
  <si>
    <t xml:space="preserve">Surplus / (Defisit)</t>
  </si>
  <si>
    <t xml:space="preserve">▎ ARUS KAS PROYEK</t>
  </si>
  <si>
    <t xml:space="preserve">TOTAL PEMASUKAN</t>
  </si>
  <si>
    <t xml:space="preserve">TOTAL PENGELUARAN</t>
  </si>
  <si>
    <t xml:space="preserve">NET CASHFLOW</t>
  </si>
  <si>
    <t xml:space="preserve">▎ RINGKASAN PER DOMPET</t>
  </si>
  <si>
    <t xml:space="preserve">Dompet</t>
  </si>
  <si>
    <t xml:space="preserve">Sumber Anggaran</t>
  </si>
  <si>
    <t xml:space="preserve">Anggaran (Rp)</t>
  </si>
  <si>
    <t xml:space="preserve">Realisasi (Rp)</t>
  </si>
  <si>
    <t xml:space="preserve">Sisa (Rp)</t>
  </si>
  <si>
    <t xml:space="preserve">% Pakai</t>
  </si>
  <si>
    <t xml:space="preserve">Status</t>
  </si>
  <si>
    <t xml:space="preserve">Utama</t>
  </si>
  <si>
    <t xml:space="preserve">Limit Lelang + Spare Bidding + Biaya Eksekusi</t>
  </si>
  <si>
    <t xml:space="preserve">Dokumen</t>
  </si>
  <si>
    <t xml:space="preserve">Biaya Balik Nama (Notaris, BPN, Pajak)</t>
  </si>
  <si>
    <t xml:space="preserve">Renovasi</t>
  </si>
  <si>
    <t xml:space="preserve">Renovasi &amp; Peningkatan Properti</t>
  </si>
  <si>
    <t xml:space="preserve">Cadangan</t>
  </si>
  <si>
    <t xml:space="preserve">Dana Cadangan / Kontingensi</t>
  </si>
  <si>
    <t xml:space="preserve">TOTAL</t>
  </si>
  <si>
    <t xml:space="preserve">Seluruh Dompet</t>
  </si>
  <si>
    <t xml:space="preserve">▎ CATATAN MANAJEMEN</t>
  </si>
  <si>
    <t xml:space="preserve">• [Tambahkan catatan manual: penjelasan deviasi, mitigasi risiko, atau rencana tindak lanjut.]</t>
  </si>
  <si>
    <t xml:space="preserve">Disusun oleh,</t>
  </si>
  <si>
    <t xml:space="preserve">Diperiksa oleh,</t>
  </si>
  <si>
    <t xml:space="preserve">Disetujui oleh,</t>
  </si>
  <si>
    <t xml:space="preserve">(______________________)</t>
  </si>
  <si>
    <t xml:space="preserve">Penyusun Laporan</t>
  </si>
  <si>
    <t xml:space="preserve">Manajer Keuangan</t>
  </si>
  <si>
    <t xml:space="preserve">Direktur Utama</t>
  </si>
  <si>
    <t xml:space="preserve">ANGGARAN vs REALISASI</t>
  </si>
  <si>
    <t xml:space="preserve">Varians (Rp)</t>
  </si>
  <si>
    <t xml:space="preserve">Komentar</t>
  </si>
  <si>
    <t xml:space="preserve">[Isi catatan]</t>
  </si>
  <si>
    <t xml:space="preserve">—</t>
  </si>
  <si>
    <t xml:space="preserve">▎ VISUALISASI</t>
  </si>
  <si>
    <t xml:space="preserve">CASHFLOW TIMELINE — SEMUA DOMPET KRONOLOGIS</t>
  </si>
  <si>
    <t xml:space="preserve">Sumber: project_arus_kas (semua wallet, urut tanggal_transaksi ASC)</t>
  </si>
  <si>
    <t xml:space="preserve">No.</t>
  </si>
  <si>
    <t xml:space="preserve">Tanggal</t>
  </si>
  <si>
    <t xml:space="preserve">ID Project</t>
  </si>
  <si>
    <t xml:space="preserve">Jenis</t>
  </si>
  <si>
    <t xml:space="preserve">Kategori</t>
  </si>
  <si>
    <t xml:space="preserve">Nominal (Rp)</t>
  </si>
  <si>
    <t xml:space="preserve">Wallet</t>
  </si>
  <si>
    <t xml:space="preserve">Judul Transaksi</t>
  </si>
  <si>
    <t xml:space="preserve">Catatan</t>
  </si>
  <si>
    <t xml:space="preserve">Saldo Berjalan</t>
  </si>
  <si>
    <t xml:space="preserve">Net</t>
  </si>
  <si>
    <t xml:space="preserve">Saldo akhir →</t>
  </si>
  <si>
    <t xml:space="preserve">Petunjuk Export: Tanggal=tanggal_transaksi, ID=id_project, Jenis=jenis_transaksi, Kategori=kategori_transaksi, Nominal=nominal, Wallet=wallet_key, Judul=judul_transaksi, Status=status_transaksi, Catatan=catatan. Order by tanggal_transaksi ASC.</t>
  </si>
  <si>
    <t xml:space="preserve">DOMPET UTAMA</t>
  </si>
  <si>
    <t xml:space="preserve">Anggaran</t>
  </si>
  <si>
    <t xml:space="preserve">Sisa</t>
  </si>
  <si>
    <t xml:space="preserve">Realisasi</t>
  </si>
  <si>
    <t xml:space="preserve">% Penyerapan</t>
  </si>
  <si>
    <t xml:space="preserve">Sumber Anggaran: Limit Lelang + Spare Bidding + Biaya Eksekusi  •  Wallet Key: 'utama'  •  Realisasi otomatis dari Cashflow Timeline</t>
  </si>
  <si>
    <t xml:space="preserve">▎ DETAIL TRANSAKSI (filter wallet)</t>
  </si>
  <si>
    <t xml:space="preserve">SUBTOTAL PENGELUARAN</t>
  </si>
  <si>
    <t xml:space="preserve">Catatan: Sel BIRU = data dari project_arus_kas WHERE wallet_key='utama'. Realisasi di KPI atas dihitung otomatis dari Cashflow Timeline.</t>
  </si>
  <si>
    <t xml:space="preserve">DOMPET DOKUMEN</t>
  </si>
  <si>
    <t xml:space="preserve">Sumber Anggaran: Biaya Balik Nama (Notaris, BPN, Pajak)  •  Wallet Key: 'dokumen'  •  Realisasi otomatis dari Cashflow Timeline</t>
  </si>
  <si>
    <t xml:space="preserve">Catatan: Sel BIRU = data dari project_arus_kas WHERE wallet_key='dokumen'. Realisasi di KPI atas dihitung otomatis dari Cashflow Timeline.</t>
  </si>
  <si>
    <t xml:space="preserve">DOMPET RENOVASI</t>
  </si>
  <si>
    <t xml:space="preserve">Sumber Anggaran: Renovasi &amp; Peningkatan Properti  •  Wallet Key: 'renovasi'  •  Realisasi otomatis dari Cashflow Timeline</t>
  </si>
  <si>
    <t xml:space="preserve">Catatan: Sel BIRU = data dari project_arus_kas WHERE wallet_key='renovasi'. Realisasi di KPI atas dihitung otomatis dari Cashflow Timeline.</t>
  </si>
  <si>
    <t xml:space="preserve">DOMPET CADANGAN</t>
  </si>
  <si>
    <t xml:space="preserve">Sumber Anggaran: Dana Cadangan / Kontingensi  •  Wallet Key: 'cadangan'  •  Realisasi otomatis dari Cashflow Timeline</t>
  </si>
  <si>
    <t xml:space="preserve">Catatan: Sel BIRU = data dari project_arus_kas WHERE wallet_key='cadangan'. Realisasi di KPI atas dihitung otomatis dari Cashflow Timeline.</t>
  </si>
  <si>
    <t xml:space="preserve">BREAKDOWN PENGELUARAN PER KATEGORI</t>
  </si>
  <si>
    <t xml:space="preserve">Otomatis terhitung dari Cashflow Timeline (jenis = pengeluaran)</t>
  </si>
  <si>
    <t xml:space="preserve">Total Pengeluaran (Rp)</t>
  </si>
  <si>
    <t xml:space="preserve">% dari Total</t>
  </si>
  <si>
    <t xml:space="preserve">Pendanaan Investor</t>
  </si>
  <si>
    <t xml:space="preserve">Modal Internal</t>
  </si>
  <si>
    <t xml:space="preserve">Pengembalian Modal</t>
  </si>
  <si>
    <t xml:space="preserve">Pembayaran Lelang</t>
  </si>
  <si>
    <t xml:space="preserve">Biaya Eksekusi</t>
  </si>
  <si>
    <t xml:space="preserve">Balik Nama</t>
  </si>
  <si>
    <t xml:space="preserve">Operasional</t>
  </si>
  <si>
    <t xml:space="preserve">Pengeluaran Lainnya</t>
  </si>
  <si>
    <t xml:space="preserve">Penjualan Properti</t>
  </si>
  <si>
    <t xml:space="preserve">Pemasukan Lainnya</t>
  </si>
  <si>
    <t xml:space="preserve">PETUNJUK PENGGUNAAN TEMPLATE</t>
  </si>
  <si>
    <t xml:space="preserve">▸</t>
  </si>
  <si>
    <t xml:space="preserve">Cover</t>
  </si>
  <si>
    <t xml:space="preserve">Halaman identitas. Diisi dari tabel project. KPI di bawah otomatis dari sheet Profil Proyek.</t>
  </si>
  <si>
    <t xml:space="preserve">Profil Proyek</t>
  </si>
  <si>
    <t xml:space="preserve">Detail valuasi &amp; breakdown biaya akuisisi dari tabel project. Lengkap dengan chart ROI dan 3 KPI Margin/ROI/Markup.</t>
  </si>
  <si>
    <t xml:space="preserve">Ringkasan Eksekutif</t>
  </si>
  <si>
    <t xml:space="preserve">Halaman utama investor. 4 KPI Anggaran + 3 KPI Cashflow + ringkasan per dompet dengan status otomatis. Catatan manajemen otomatis terisi.</t>
  </si>
  <si>
    <t xml:space="preserve">Anggaran vs Realisasi</t>
  </si>
  <si>
    <t xml:space="preserve">Analisis varians 4 dompet + 2 chart (Bar comparison &amp; Pie komposisi).</t>
  </si>
  <si>
    <t xml:space="preserve">Cashflow Timeline</t>
  </si>
  <si>
    <t xml:space="preserve">MASTER TABLE — semua transaksi dari project_arus_kas, kronologis. 100 baris siap pakai. Saldo Berjalan otomatis. Mapping kolom di footer.</t>
  </si>
  <si>
    <t xml:space="preserve">Dompet Utama / Dokumen / Renovasi / Cadangan</t>
  </si>
  <si>
    <t xml:space="preserve">Detail per dompet. Anggaran (E5) diisi dari mapping (Utama=limit+spare+eksekusi, Dokumen=balik_nama, Renovasi=biaya_renov, Cadangan=dana_cadangan). Realisasi otomatis dari Cashflow Timeline filter wallet_key.</t>
  </si>
  <si>
    <t xml:space="preserve">Breakdown Kategori</t>
  </si>
  <si>
    <t xml:space="preserve">Pie chart komposisi pengeluaran per kategori_transaksi. Otomatis dari Cashflow Timeline.</t>
  </si>
  <si>
    <t xml:space="preserve">Color Coding</t>
  </si>
  <si>
    <t xml:space="preserve">Sel BIRU = data dari database. Sel HITAM = formula otomatis. Status: HIJAU=Aman (&lt;90%), KUNING=Waspada (90-100%), MERAH=Over Budget (&gt;100%). Jenis: HIJAU=pemasukan, MERAH=pengeluaran.</t>
  </si>
  <si>
    <t xml:space="preserve">Untuk Pengembang Program — Mapping Export</t>
  </si>
  <si>
    <t xml:space="preserve">(1) Cover D9 = id_project. (2) Profil Proyek D9-D11 = harga_pembelian, estimasi_harga_jual, estimasi_profit_bersih. D15-D20 = nilai_limit_lelang, spare_bidding, biaya_eksekusi, biaya_balik_nama, biaya_renov, dana_cadangan. D24-D25 = target_pendanaan, total_pendanaan. (3) Setiap 'Dompet [Nama]'!E5 = jumlah komponen biaya sesuai mapping. (4) Cashflow Timeline rows 7-106 = SELECT * FROM project_arus_kas WHERE id_project=? ORDER BY tanggal_transaksi ASC.</t>
  </si>
  <si>
    <t xml:space="preserve">DOMPET EKSEKUSI</t>
  </si>
  <si>
    <t xml:space="preserve">Sumber Anggaran: Biaya Eksekusi  •  Wallet Key: 'eksekusi'  •  Realisasi otomatis dari Cashflow Timeline</t>
  </si>
  <si>
    <t xml:space="preserve">Catatan: Sel BIRU = data dari project_arus_kas WHERE wallet_key='eksekusi'. Realisasi di KPI atas dihitung otomatis dari Cashflow Timeline.</t>
  </si>
</sst>
</file>

<file path=xl/styles.xml><?xml version="1.0" encoding="utf-8"?>
<styleSheet xmlns="http://schemas.openxmlformats.org/spreadsheetml/2006/main">
  <numFmts>
    <numFmt numFmtId="164" formatCode="General"/>
    <numFmt numFmtId="165" formatCode="_-&quot;Rp&quot;* #,##0_-;[RED]&quot;-Rp&quot;* #,##0_-;_-&quot;Rp&quot;* \-_-;_-@_-"/>
    <numFmt numFmtId="166" formatCode="0.0%;[RED]\-0.0%;\-"/>
    <numFmt numFmtId="167" formatCode="dd\-mmm\-yyyy"/>
  </numFmts>
  <fonts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8D27A"/>
      <name val="Calibri"/>
      <family val="0"/>
      <charset val="1"/>
    </font>
    <font>
      <b val="true"/>
      <sz val="24"/>
      <color rgb="FFFFFFFF"/>
      <name val="Calibri"/>
      <family val="0"/>
      <charset val="1"/>
    </font>
    <font>
      <i val="true"/>
      <sz val="11"/>
      <color rgb="FFE8D27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70C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6"/>
      <color rgb="FF2E5597"/>
      <name val="Calibri"/>
      <family val="0"/>
      <charset val="1"/>
    </font>
    <font>
      <b val="true"/>
      <sz val="16"/>
      <color rgb="FF548235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0070C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2E75B6"/>
      <name val="Calibri"/>
      <family val="0"/>
      <charset val="1"/>
    </font>
    <font>
      <b val="true"/>
      <sz val="10"/>
      <color rgb="FFED7D31"/>
      <name val="Calibri"/>
      <family val="0"/>
      <charset val="1"/>
    </font>
    <font>
      <b val="true"/>
      <sz val="10"/>
      <color rgb="FF54823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E8D27A"/>
      <name val="Calibri"/>
      <family val="0"/>
      <charset val="1"/>
    </font>
    <font>
      <b val="true"/>
      <sz val="12"/>
      <color rgb="FFE8D27A"/>
      <name val="Calibri"/>
      <family val="0"/>
      <charset val="1"/>
    </font>
    <font>
      <b val="true"/>
      <sz val="11"/>
      <color rgb="FF548235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6"/>
      <color rgb="FF8B6F0E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1F3864"/>
      <name val="Calibri"/>
      <family val="0"/>
      <charset val="1"/>
    </font>
    <font>
      <b val="true"/>
      <sz val="18"/>
      <color rgb="FF2E5597"/>
      <name val="Calibri"/>
      <family val="0"/>
      <charset val="1"/>
    </font>
    <font>
      <b val="true"/>
      <sz val="18"/>
      <color rgb="FF8B6F0E"/>
      <name val="Calibri"/>
      <family val="0"/>
      <charset val="1"/>
    </font>
    <font>
      <b val="true"/>
      <sz val="18"/>
      <color rgb="FF548235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14"/>
      <color rgb="FF548235"/>
      <name val="Calibri"/>
      <family val="0"/>
      <charset val="1"/>
    </font>
    <font>
      <b val="true"/>
      <sz val="14"/>
      <color rgb="FFC0000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1"/>
      <color rgb="FF2E75B6"/>
      <name val="Calibri"/>
      <family val="0"/>
      <charset val="1"/>
    </font>
    <font>
      <b val="true"/>
      <sz val="11"/>
      <color rgb="FFED7D31"/>
      <name val="Calibri"/>
      <family val="0"/>
      <charset val="1"/>
    </font>
    <font>
      <sz val="10"/>
      <color rgb="FF595959"/>
      <name val="Calibri"/>
      <family val="0"/>
      <charset val="1"/>
    </font>
    <font>
      <i val="true"/>
      <sz val="10"/>
      <color rgb="FF0070C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0070C0"/>
      <name val="Calibri"/>
      <family val="0"/>
      <charset val="1"/>
    </font>
    <font>
      <b val="true"/>
      <sz val="10"/>
      <color rgb="FFE8D27A"/>
      <name val="Calibri"/>
      <family val="0"/>
      <charset val="1"/>
    </font>
    <font>
      <b val="true"/>
      <sz val="13"/>
      <color rgb="FF0070C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0"/>
      <name val="Arial"/>
      <family val="2"/>
    </font>
    <font>
      <b val="true"/>
      <sz val="12"/>
      <color rgb="FFC9A227"/>
      <name val="Calibri"/>
      <family val="0"/>
      <charset val="1"/>
    </font>
  </fonts>
  <fills>
    <fill>
      <patternFill patternType="none"/>
    </fill>
    <fill>
      <patternFill patternType="gray125"/>
    </fill>
    <fill>
      <patternFill patternType="solid">
        <fgColor rgb="FF1F3864"/>
        <bgColor rgb="FF0F1F3D"/>
      </patternFill>
    </fill>
    <fill>
      <patternFill patternType="solid">
        <fgColor rgb="FFC9A227"/>
        <bgColor rgb="FFBF8F00"/>
      </patternFill>
    </fill>
    <fill>
      <patternFill patternType="solid">
        <fgColor rgb="FF8B6F0E"/>
        <bgColor rgb="FF548235"/>
      </patternFill>
    </fill>
    <fill>
      <patternFill patternType="solid">
        <fgColor rgb="FFE8D27A"/>
        <bgColor rgb="FFB8CD97"/>
      </patternFill>
    </fill>
    <fill>
      <patternFill patternType="solid">
        <fgColor rgb="FFF5F5F5"/>
        <bgColor rgb="FFF9F9F9"/>
      </patternFill>
    </fill>
    <fill>
      <patternFill patternType="solid">
        <fgColor rgb="FF2E5597"/>
        <bgColor rgb="FF4672A8"/>
      </patternFill>
    </fill>
    <fill>
      <patternFill patternType="solid">
        <fgColor rgb="FF548235"/>
        <bgColor rgb="FF595959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9F9F9"/>
      </patternFill>
    </fill>
    <fill>
      <patternFill patternType="solid">
        <fgColor rgb="FFC00000"/>
        <bgColor rgb="FF800000"/>
      </patternFill>
    </fill>
    <fill>
      <patternFill patternType="solid">
        <fgColor rgb="FF2E75B6"/>
        <bgColor rgb="FF4672A8"/>
      </patternFill>
    </fill>
    <fill>
      <patternFill patternType="solid">
        <fgColor rgb="FFED7D31"/>
        <bgColor rgb="FFDC853E"/>
      </patternFill>
    </fill>
  </fills>
  <borders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1F3864"/>
      </left>
      <right style="thin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1F3864"/>
      </left>
      <right/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0" fillId="9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0" fillId="1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9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1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2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2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7" fillId="2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9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9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1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1" fillId="9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1" fillId="1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2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6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7" fillId="2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4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5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2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2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3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5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b val="1"/>
        <color rgb="FFC00000"/>
        <sz val="10"/>
      </font>
      <fill>
        <patternFill>
          <bgColor rgb="FFFCE4E4"/>
        </patternFill>
      </fill>
    </dxf>
    <dxf>
      <font>
        <name val="Calibri"/>
        <charset val="1"/>
        <family val="0"/>
        <b val="1"/>
        <color rgb="FFBF8F00"/>
        <sz val="10"/>
      </font>
      <fill>
        <patternFill>
          <bgColor rgb="FFFFF2CC"/>
        </patternFill>
      </fill>
    </dxf>
    <dxf>
      <font>
        <name val="Calibri"/>
        <charset val="1"/>
        <family val="0"/>
        <b val="1"/>
        <color rgb="FF548235"/>
        <sz val="10"/>
      </font>
      <fill>
        <patternFill>
          <bgColor rgb="FFE2EFDA"/>
        </patternFill>
      </fill>
    </dxf>
    <dxf>
      <font>
        <name val="Calibri"/>
        <charset val="1"/>
        <family val="0"/>
        <b val="1"/>
        <color rgb="FFC00000"/>
        <sz val="10"/>
      </font>
    </dxf>
    <dxf>
      <font>
        <name val="Calibri"/>
        <charset val="1"/>
        <family val="0"/>
        <b val="1"/>
        <color rgb="FF1F3864"/>
        <sz val="10"/>
      </font>
    </dxf>
    <dxf>
      <font>
        <name val="Calibri"/>
        <charset val="1"/>
        <family val="0"/>
        <b val="1"/>
        <color rgb="FF2E75B6"/>
        <sz val="10"/>
      </font>
    </dxf>
    <dxf>
      <font>
        <name val="Calibri"/>
        <charset val="1"/>
        <family val="0"/>
        <b val="1"/>
        <color rgb="FFED7D31"/>
        <sz val="10"/>
      </font>
    </dxf>
    <dxf>
      <font>
        <name val="Calibri"/>
        <charset val="1"/>
        <family val="0"/>
        <b val="1"/>
        <color rgb="FF548235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AFAFA"/>
      <rgbColor rgb="FFFF00FF"/>
      <rgbColor rgb="FF00FFFF"/>
      <rgbColor rgb="FF800000"/>
      <rgbColor rgb="FF548235"/>
      <rgbColor rgb="FF000080"/>
      <rgbColor rgb="FF8B6F0E"/>
      <rgbColor rgb="FF800080"/>
      <rgbColor rgb="FF4672A8"/>
      <rgbColor rgb="FFB8CD97"/>
      <rgbColor rgb="FF878787"/>
      <rgbColor rgb="FF93A9CE"/>
      <rgbColor rgb="FFAB4744"/>
      <rgbColor rgb="FFFFF2CC"/>
      <rgbColor rgb="FFF5F5F5"/>
      <rgbColor rgb="FF660066"/>
      <rgbColor rgb="FFDC853E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9F9F9"/>
      <rgbColor rgb="FFE2EFDA"/>
      <rgbColor rgb="FFFCE4E4"/>
      <rgbColor rgb="FF92C3D5"/>
      <rgbColor rgb="FFD09493"/>
      <rgbColor rgb="FFA99BBD"/>
      <rgbColor rgb="FFE8D27A"/>
      <rgbColor rgb="FF2E75B6"/>
      <rgbColor rgb="FF8AA64F"/>
      <rgbColor rgb="FF9BBB59"/>
      <rgbColor rgb="FFBF8F00"/>
      <rgbColor rgb="FFC9A227"/>
      <rgbColor rgb="FFED7D31"/>
      <rgbColor rgb="FF725990"/>
      <rgbColor rgb="FF8C8C8C"/>
      <rgbColor rgb="FF1F3864"/>
      <rgbColor rgb="FF4299B0"/>
      <rgbColor rgb="FF003300"/>
      <rgbColor rgb="FF595959"/>
      <rgbColor rgb="FF8064A2"/>
      <rgbColor rgb="FFC0504D"/>
      <rgbColor rgb="FF2E5597"/>
      <rgbColor rgb="FF0F1F3D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Proyeksi ROI: Investasi vs Hasil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'Profil Proyek'!C31</c:f>
              <c:strCache>
                <c:ptCount val="1"/>
                <c:pt idx="0">
                  <c:v>Nilai (Rp)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'Profil Proyek'!$B$32:$B$35</c:f>
              <c:strCache>
                <c:ptCount val="4"/>
                <c:pt idx="0">
                  <c:v>Harga Pembelian</c:v>
                </c:pt>
                <c:pt idx="1">
                  <c:v>Total Biaya Akuisisi</c:v>
                </c:pt>
                <c:pt idx="2">
                  <c:v>Estimasi Harga Jual</c:v>
                </c:pt>
                <c:pt idx="3">
                  <c:v>Estimasi Profit</c:v>
                </c:pt>
              </c:strCache>
            </c:strRef>
          </c:cat>
          <c:val>
            <c:numRef>
              <c:f>'Profil Proyek'!$C$32:$C$35</c:f>
              <c:numCache>
                <c:formatCode>_-"Rp"* #,##0_-;[RED]"-Rp"* #,##0_-;_-"Rp"* \-_-;_-@_-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84554398"/>
        <c:axId val="24162719"/>
      </c:barChart>
      <c:catAx>
        <c:axId val="8455439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62719"/>
        <c:crosses val="autoZero"/>
        <c:auto val="1"/>
        <c:lblAlgn val="ctr"/>
        <c:lblOffset val="100"/>
        <c:noMultiLvlLbl val="0"/>
      </c:catAx>
      <c:valAx>
        <c:axId val="241627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-&quot;Rp&quot;* #,##0_-;[RED]&quot;-Rp&quot;* #,##0_-;_-&quot;Rp&quot;* \-_-;_-@_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543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Anggaran vs Realisasi per Dompet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'Anggaran vs Realisasi'!D5</c:f>
              <c:strCache>
                <c:ptCount val="1"/>
                <c:pt idx="0">
                  <c:v>Anggaran (Rp)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'Anggaran vs Realisasi'!$B$6:$B$9</c:f>
              <c:strCache>
                <c:ptCount val="4"/>
                <c:pt idx="0">
                  <c:v>Utama</c:v>
                </c:pt>
                <c:pt idx="1">
                  <c:v>Dokumen</c:v>
                </c:pt>
                <c:pt idx="2">
                  <c:v>Renovasi</c:v>
                </c:pt>
                <c:pt idx="3">
                  <c:v>Cadangan</c:v>
                </c:pt>
              </c:strCache>
            </c:strRef>
          </c:cat>
          <c:val>
            <c:numRef>
              <c:f>'Anggaran vs Realisasi'!$D$6:$D$9</c:f>
              <c:numCache>
                <c:formatCode>_-"Rp"* #,##0_-;[RED]"-Rp"* #,##0_-;_-"Rp"* \-_-;_-@_-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'Anggaran vs Realisasi'!E5</c:f>
              <c:strCache>
                <c:ptCount val="1"/>
                <c:pt idx="0">
                  <c:v>Realisasi (Rp)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'Anggaran vs Realisasi'!$B$6:$B$9</c:f>
              <c:strCache>
                <c:ptCount val="4"/>
                <c:pt idx="0">
                  <c:v>Utama</c:v>
                </c:pt>
                <c:pt idx="1">
                  <c:v>Dokumen</c:v>
                </c:pt>
                <c:pt idx="2">
                  <c:v>Renovasi</c:v>
                </c:pt>
                <c:pt idx="3">
                  <c:v>Cadangan</c:v>
                </c:pt>
              </c:strCache>
            </c:strRef>
          </c:cat>
          <c:val>
            <c:numRef>
              <c:f>'Anggaran vs Realisasi'!$E$6:$E$9</c:f>
              <c:numCache>
                <c:formatCode>_-"Rp"* #,##0_-;[RED]"-Rp"* #,##0_-;_-"Rp"* \-_-;_-@_-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28637137"/>
        <c:axId val="89190772"/>
      </c:barChart>
      <c:catAx>
        <c:axId val="286371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Dompet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90772"/>
        <c:crosses val="autoZero"/>
        <c:auto val="1"/>
        <c:lblAlgn val="ctr"/>
        <c:lblOffset val="100"/>
        <c:noMultiLvlLbl val="0"/>
      </c:catAx>
      <c:valAx>
        <c:axId val="891907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&quot;Rp&quot;* #,##0_-;[RED]&quot;-Rp&quot;* #,##0_-;_-&quot;Rp&quot;* \-_-;_-@_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371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Komposisi Realisasi per Dompet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'Anggaran vs Realisasi'!E5</c:f>
              <c:strCache>
                <c:ptCount val="1"/>
                <c:pt idx="0">
                  <c:v>Realisasi (Rp)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_-&quot;Rp&quot;* #,##0_-;[RED]&quot;-Rp&quot;* #,##0_-;_-&quot;Rp&quot;* \-_-;_-@_-" sourceLinked="1"/>
            <c:dLbl>
              <c:idx val="0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'Anggaran vs Realisasi'!$B$6:$B$9</c:f>
              <c:strCache>
                <c:ptCount val="4"/>
                <c:pt idx="0">
                  <c:v>Utama</c:v>
                </c:pt>
                <c:pt idx="1">
                  <c:v>Dokumen</c:v>
                </c:pt>
                <c:pt idx="2">
                  <c:v>Renovasi</c:v>
                </c:pt>
                <c:pt idx="3">
                  <c:v>Cadangan</c:v>
                </c:pt>
              </c:strCache>
            </c:strRef>
          </c:cat>
          <c:val>
            <c:numRef>
              <c:f>'Anggaran vs Realisasi'!$E$6:$E$9</c:f>
              <c:numCache>
                <c:formatCode>_-"Rp"* #,##0_-;[RED]"-Rp"* #,##0_-;_-"Rp"* \-_-;_-@_-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Komposisi Pengeluaran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'Breakdown Kategori'!C6</c:f>
              <c:strCache>
                <c:ptCount val="1"/>
                <c:pt idx="0">
                  <c:v>Total Pengeluaran (Rp)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numFmt formatCode="_-&quot;Rp&quot;* #,##0_-;[RED]&quot;-Rp&quot;* #,##0_-;_-&quot;Rp&quot;* \-_-;_-@_-" sourceLinked="1"/>
            <c:dLbl>
              <c:idx val="0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'Breakdown Kategori'!$B$7:$B$17</c:f>
              <c:strCache>
                <c:ptCount val="11"/>
                <c:pt idx="0">
                  <c:v>Pendanaan Investor</c:v>
                </c:pt>
                <c:pt idx="1">
                  <c:v>Modal Internal</c:v>
                </c:pt>
                <c:pt idx="2">
                  <c:v>Pengembalian Modal</c:v>
                </c:pt>
                <c:pt idx="3">
                  <c:v>Pembayaran Lelang</c:v>
                </c:pt>
                <c:pt idx="4">
                  <c:v>Biaya Eksekusi</c:v>
                </c:pt>
                <c:pt idx="5">
                  <c:v>Balik Nama</c:v>
                </c:pt>
                <c:pt idx="6">
                  <c:v>Renovasi</c:v>
                </c:pt>
                <c:pt idx="7">
                  <c:v>Operasional</c:v>
                </c:pt>
                <c:pt idx="8">
                  <c:v>Pengeluaran Lainnya</c:v>
                </c:pt>
                <c:pt idx="9">
                  <c:v>Penjualan Properti</c:v>
                </c:pt>
                <c:pt idx="10">
                  <c:v>Pemasukan Lainnya</c:v>
                </c:pt>
              </c:strCache>
            </c:strRef>
          </c:cat>
          <c:val>
            <c:numRef>
              <c:f>'Breakdown Kategori'!$C$7:$C$17</c:f>
              <c:numCache>
                <c:formatCode>_-"Rp"* #,##0_-;[RED]"-Rp"* #,##0_-;_-"Rp"* \-_-;_-@_-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29</xdr:row>
      <xdr:rowOff>0</xdr:rowOff>
    </xdr:from>
    <xdr:to>
      <xdr:col>10</xdr:col>
      <xdr:colOff>463320</xdr:colOff>
      <xdr:row>40</xdr:row>
      <xdr:rowOff>145800</xdr:rowOff>
    </xdr:to>
    <xdr:graphicFrame>
      <xdr:nvGraphicFramePr>
        <xdr:cNvPr id="0" name="Chart 1"/>
        <xdr:cNvGraphicFramePr/>
      </xdr:nvGraphicFramePr>
      <xdr:xfrm>
        <a:off x="5074920" y="781056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5</xdr:col>
      <xdr:colOff>543600</xdr:colOff>
      <xdr:row>31</xdr:row>
      <xdr:rowOff>720</xdr:rowOff>
    </xdr:to>
    <xdr:graphicFrame>
      <xdr:nvGraphicFramePr>
        <xdr:cNvPr id="1" name="Chart 1"/>
        <xdr:cNvGraphicFramePr/>
      </xdr:nvGraphicFramePr>
      <xdr:xfrm>
        <a:off x="141120" y="370512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0</xdr:rowOff>
    </xdr:from>
    <xdr:to>
      <xdr:col>8</xdr:col>
      <xdr:colOff>1217880</xdr:colOff>
      <xdr:row>31</xdr:row>
      <xdr:rowOff>720</xdr:rowOff>
    </xdr:to>
    <xdr:graphicFrame>
      <xdr:nvGraphicFramePr>
        <xdr:cNvPr id="2" name="Chart 2"/>
        <xdr:cNvGraphicFramePr/>
      </xdr:nvGraphicFramePr>
      <xdr:xfrm>
        <a:off x="5356800" y="3705120"/>
        <a:ext cx="43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12</xdr:col>
      <xdr:colOff>70920</xdr:colOff>
      <xdr:row>20</xdr:row>
      <xdr:rowOff>147600</xdr:rowOff>
    </xdr:to>
    <xdr:graphicFrame>
      <xdr:nvGraphicFramePr>
        <xdr:cNvPr id="3" name="Chart 1"/>
        <xdr:cNvGraphicFramePr/>
      </xdr:nvGraphicFramePr>
      <xdr:xfrm>
        <a:off x="4511160" y="990720"/>
        <a:ext cx="57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4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7" min="2" style="1" width="22"/>
    <col collapsed="false" customWidth="true" hidden="false" outlineLevel="0" max="8" min="8" style="1" width="2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B3" t="s" s="3">
        <v>0</v>
      </c>
      <c r="C3" s="3"/>
      <c r="D3" s="3"/>
      <c r="E3" s="3"/>
      <c r="F3" s="3"/>
      <c r="G3" s="3"/>
    </row>
    <row r="4" customFormat="false" ht="25.5" hidden="false" customHeight="true" outlineLevel="0" collapsed="false">
      <c r="B4" t="s" s="4">
        <v>1</v>
      </c>
      <c r="C4" s="4"/>
      <c r="D4" s="4"/>
      <c r="E4" s="4"/>
      <c r="F4" s="4"/>
      <c r="G4" s="4"/>
    </row>
    <row r="5" customFormat="false" ht="25.5" hidden="false" customHeight="true" outlineLevel="0" collapsed="false">
      <c r="B5" t="s" s="5">
        <v>2</v>
      </c>
      <c r="C5" s="5"/>
      <c r="D5" s="5"/>
      <c r="E5" s="5"/>
      <c r="F5" s="5"/>
      <c r="G5" s="5"/>
    </row>
    <row r="6" customFormat="false" ht="25.5" hidden="false" customHeight="true" outlineLevel="0" collapsed="false">
      <c r="B6" s="2"/>
      <c r="C6" s="2"/>
      <c r="D6" s="2"/>
      <c r="E6" s="2"/>
      <c r="F6" s="2"/>
      <c r="G6" s="2"/>
    </row>
    <row r="7" customFormat="false" ht="6" hidden="false" customHeight="true" outlineLevel="0" collapsed="false">
      <c r="B7" s="6"/>
      <c r="C7" s="6"/>
      <c r="D7" s="6"/>
      <c r="E7" s="6"/>
      <c r="F7" s="6"/>
      <c r="G7" s="6"/>
    </row>
    <row r="8" customFormat="false" ht="18" hidden="false" customHeight="true" outlineLevel="0" collapsed="false"/>
    <row r="9" customFormat="false" ht="24" hidden="false" customHeight="true" outlineLevel="0" collapsed="false">
      <c r="B9" t="s" s="7">
        <v>3</v>
      </c>
      <c r="C9" s="7"/>
      <c r="D9" t="s" s="8">
        <v>4</v>
      </c>
      <c r="E9" s="8"/>
      <c r="F9" s="8"/>
      <c r="G9" s="8"/>
    </row>
    <row r="11" customFormat="false" ht="25.5" hidden="false" customHeight="true" outlineLevel="0" collapsed="false">
      <c r="B11" t="s" s="9">
        <v>5</v>
      </c>
      <c r="C11" s="9"/>
      <c r="D11" s="9"/>
      <c r="E11" s="9"/>
      <c r="F11" s="9"/>
      <c r="G11" s="9"/>
    </row>
    <row r="13" customFormat="false" ht="21.75" hidden="false" customHeight="true" outlineLevel="0" collapsed="false">
      <c r="B13" t="s" s="10">
        <v>6</v>
      </c>
      <c r="C13" s="10"/>
      <c r="D13" t="s" s="11">
        <v>7</v>
      </c>
      <c r="E13" s="11"/>
      <c r="F13" s="11"/>
      <c r="G13" s="11"/>
    </row>
    <row r="14" customFormat="false" ht="21.75" hidden="false" customHeight="true" outlineLevel="0" collapsed="false">
      <c r="B14" t="s" s="10">
        <v>8</v>
      </c>
      <c r="C14" s="10"/>
      <c r="D14" t="s" s="11">
        <v>9</v>
      </c>
      <c r="E14" s="11"/>
      <c r="F14" s="11"/>
      <c r="G14" s="11"/>
    </row>
    <row r="15" customFormat="false" ht="21.75" hidden="false" customHeight="true" outlineLevel="0" collapsed="false">
      <c r="B15" t="s" s="10">
        <v>10</v>
      </c>
      <c r="C15" s="10"/>
      <c r="D15" t="s" s="11">
        <v>11</v>
      </c>
      <c r="E15" s="11"/>
      <c r="F15" s="11"/>
      <c r="G15" s="11"/>
    </row>
    <row r="16" customFormat="false" ht="21.75" hidden="false" customHeight="true" outlineLevel="0" collapsed="false">
      <c r="B16" t="s" s="10">
        <v>12</v>
      </c>
      <c r="C16" s="10"/>
      <c r="D16" t="s" s="11">
        <v>13</v>
      </c>
      <c r="E16" s="11"/>
      <c r="F16" s="11"/>
      <c r="G16" s="11"/>
    </row>
    <row r="17" customFormat="false" ht="21.75" hidden="false" customHeight="true" outlineLevel="0" collapsed="false">
      <c r="B17" t="s" s="10">
        <v>14</v>
      </c>
      <c r="C17" s="10"/>
      <c r="D17" t="s" s="11">
        <v>15</v>
      </c>
      <c r="E17" s="11"/>
      <c r="F17" s="11"/>
      <c r="G17" s="11"/>
    </row>
    <row r="18" customFormat="false" ht="21.75" hidden="false" customHeight="true" outlineLevel="0" collapsed="false">
      <c r="B18" t="s" s="10">
        <v>16</v>
      </c>
      <c r="C18" s="10"/>
      <c r="D18" t="s" s="11">
        <v>17</v>
      </c>
      <c r="E18" s="11"/>
      <c r="F18" s="11"/>
      <c r="G18" s="11"/>
    </row>
    <row r="19" customFormat="false" ht="21.75" hidden="false" customHeight="true" outlineLevel="0" collapsed="false">
      <c r="B19" t="s" s="10">
        <v>18</v>
      </c>
      <c r="C19" s="10"/>
      <c r="D19" t="s" s="11">
        <v>19</v>
      </c>
      <c r="E19" s="11"/>
      <c r="F19" s="11"/>
      <c r="G19" s="11"/>
    </row>
    <row r="20" customFormat="false" ht="21.75" hidden="false" customHeight="true" outlineLevel="0" collapsed="false">
      <c r="B20" t="s" s="10">
        <v>20</v>
      </c>
      <c r="C20" s="10"/>
      <c r="D20" t="s" s="11">
        <v>21</v>
      </c>
      <c r="E20" s="11"/>
      <c r="F20" s="11"/>
      <c r="G20" s="11"/>
    </row>
    <row r="21" customFormat="false" ht="21.75" hidden="false" customHeight="true" outlineLevel="0" collapsed="false">
      <c r="B21" t="s" s="10">
        <v>22</v>
      </c>
      <c r="C21" s="10"/>
      <c r="D21" t="s" s="11">
        <v>23</v>
      </c>
      <c r="E21" s="11"/>
      <c r="F21" s="11"/>
      <c r="G21" s="11"/>
    </row>
    <row r="22" customFormat="false" ht="21.75" hidden="false" customHeight="true" outlineLevel="0" collapsed="false">
      <c r="B22" t="s" s="10">
        <v>24</v>
      </c>
      <c r="C22" s="10"/>
      <c r="D22" t="s" s="11">
        <v>25</v>
      </c>
      <c r="E22" s="11"/>
      <c r="F22" s="11"/>
      <c r="G22" s="11"/>
    </row>
    <row r="25" customFormat="false" ht="25.5" hidden="false" customHeight="true" outlineLevel="0" collapsed="false">
      <c r="B25" t="s" s="9">
        <v>26</v>
      </c>
      <c r="C25" s="9"/>
      <c r="D25" s="9"/>
      <c r="E25" s="9"/>
      <c r="F25" s="9"/>
      <c r="G25" s="9"/>
    </row>
    <row r="27" customFormat="false" ht="21.75" hidden="false" customHeight="true" outlineLevel="0" collapsed="false">
      <c r="B27" t="s" s="12">
        <v>27</v>
      </c>
      <c r="C27" s="12"/>
      <c r="D27" t="s" s="13">
        <v>28</v>
      </c>
      <c r="E27" s="13"/>
      <c r="F27" t="s" s="14">
        <v>29</v>
      </c>
      <c r="G27" s="14"/>
    </row>
    <row r="28" customFormat="false" ht="36" hidden="false" customHeight="true" outlineLevel="0" collapsed="false">
      <c r="B28" s="15">
        <f aca="false">'Profil Proyek'!D9</f>
      </c>
      <c r="C28" s="15"/>
      <c r="D28" s="16">
        <f aca="false">'Profil Proyek'!D10</f>
      </c>
      <c r="E28" s="16"/>
      <c r="F28" s="17">
        <f aca="false">'Profil Proyek'!D11</f>
      </c>
      <c r="G28" s="17"/>
    </row>
    <row r="29" customFormat="false" ht="18" hidden="false" customHeight="true" outlineLevel="0" collapsed="false">
      <c r="B29" s="18"/>
      <c r="C29" s="18"/>
      <c r="D29" s="18"/>
      <c r="E29" s="18"/>
      <c r="F29" s="18"/>
      <c r="G29" s="18"/>
    </row>
    <row r="32" customFormat="false" ht="15" hidden="false" customHeight="true" outlineLevel="0" collapsed="false">
      <c r="B32" t="s" s="19">
        <v>30</v>
      </c>
      <c r="C32" s="19"/>
      <c r="D32" s="19"/>
      <c r="E32" s="19"/>
      <c r="F32" s="19"/>
      <c r="G32" s="19"/>
    </row>
    <row r="33" customFormat="false" ht="15" hidden="false" customHeight="true" outlineLevel="0" collapsed="false">
      <c r="B33" t="s" s="20">
        <v>31</v>
      </c>
      <c r="C33" s="20"/>
      <c r="D33" s="20"/>
      <c r="E33" s="20"/>
      <c r="F33" s="20"/>
      <c r="G33" s="20"/>
    </row>
  </sheetData>
  <mergeCells count="38">
    <mergeCell ref="B3:G3"/>
    <mergeCell ref="B4:G4"/>
    <mergeCell ref="B5:G5"/>
    <mergeCell ref="B9:C9"/>
    <mergeCell ref="D9:G9"/>
    <mergeCell ref="B11:G11"/>
    <mergeCell ref="B13:C13"/>
    <mergeCell ref="D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21:C21"/>
    <mergeCell ref="D21:G21"/>
    <mergeCell ref="B22:C22"/>
    <mergeCell ref="D22:G22"/>
    <mergeCell ref="B25:G25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2:G32"/>
    <mergeCell ref="B33:G33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6F0E"/>
    <pageSetUpPr fitToPage="true"/>
  </sheetPr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7" min="5" style="1" width="22"/>
    <col collapsed="false" customWidth="true" hidden="false" outlineLevel="0" max="8" min="8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t="s" s="21">
        <v>32</v>
      </c>
      <c r="C2" s="21"/>
      <c r="D2" s="21"/>
      <c r="E2" s="21"/>
      <c r="F2" s="21"/>
      <c r="G2" s="21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</row>
    <row r="5" customFormat="false" ht="24" hidden="false" customHeight="true" outlineLevel="0" collapsed="false">
      <c r="B5" t="s" s="22">
        <v>33</v>
      </c>
      <c r="C5" s="22"/>
      <c r="D5" s="22"/>
      <c r="E5" s="22"/>
      <c r="F5" s="22"/>
      <c r="G5" s="22"/>
    </row>
    <row r="7" customFormat="false" ht="27.75" hidden="false" customHeight="true" outlineLevel="0" collapsed="false">
      <c r="B7" t="s" s="23">
        <v>34</v>
      </c>
      <c r="C7" t="s" s="23">
        <v>35</v>
      </c>
      <c r="D7" t="s" s="23">
        <v>36</v>
      </c>
      <c r="E7" t="s" s="23">
        <v>37</v>
      </c>
      <c r="F7" s="23"/>
      <c r="G7" s="23"/>
    </row>
    <row r="9" customFormat="false" ht="24" hidden="false" customHeight="true" outlineLevel="0" collapsed="false">
      <c r="B9" t="s" s="24">
        <v>38</v>
      </c>
      <c r="C9" t="s" s="25">
        <v>39</v>
      </c>
      <c r="D9" s="26">
        <v>0</v>
      </c>
      <c r="E9" s="27">
        <f aca="false">IFERROR(D9/$D$10,0)</f>
      </c>
      <c r="F9" s="27"/>
      <c r="G9" s="27"/>
    </row>
    <row r="10" customFormat="false" ht="24" hidden="false" customHeight="true" outlineLevel="0" collapsed="false">
      <c r="B10" t="s" s="28">
        <v>28</v>
      </c>
      <c r="C10" t="s" s="29">
        <v>40</v>
      </c>
      <c r="D10" s="30">
        <v>0</v>
      </c>
      <c r="E10" s="31">
        <f aca="false">IFERROR(D10/$D$10,0)</f>
      </c>
      <c r="F10" s="31"/>
      <c r="G10" s="31"/>
    </row>
    <row r="11" customFormat="false" ht="24" hidden="false" customHeight="true" outlineLevel="0" collapsed="false">
      <c r="B11" t="s" s="24">
        <v>29</v>
      </c>
      <c r="C11" t="s" s="25">
        <v>41</v>
      </c>
      <c r="D11" s="26">
        <v>0</v>
      </c>
      <c r="E11" s="27">
        <f aca="false">IFERROR(D11/$D$10,0)</f>
      </c>
      <c r="F11" s="27"/>
      <c r="G11" s="27"/>
    </row>
    <row r="13" customFormat="false" ht="24" hidden="false" customHeight="true" outlineLevel="0" collapsed="false">
      <c r="B13" t="s" s="22">
        <v>42</v>
      </c>
      <c r="C13" s="22"/>
      <c r="D13" s="22"/>
      <c r="E13" s="22"/>
      <c r="F13" s="22"/>
      <c r="G13" s="22"/>
    </row>
    <row r="14" customFormat="false" ht="27.75" hidden="false" customHeight="true" outlineLevel="0" collapsed="false">
      <c r="B14" t="s" s="23">
        <v>43</v>
      </c>
      <c r="C14" t="s" s="23">
        <v>35</v>
      </c>
      <c r="D14" t="s" s="23">
        <v>36</v>
      </c>
      <c r="E14" t="s" s="23">
        <v>44</v>
      </c>
      <c r="F14" s="23"/>
      <c r="G14" s="23"/>
    </row>
    <row r="15" customFormat="false" ht="21.75" hidden="false" customHeight="true" outlineLevel="0" collapsed="false">
      <c r="B15" t="s" s="32">
        <v>45</v>
      </c>
      <c r="C15" t="s" s="25">
        <v>46</v>
      </c>
      <c r="D15" s="33">
        <v>0</v>
      </c>
      <c r="E15" s="27">
        <f aca="false">IFERROR(D15/$D$21,0)</f>
      </c>
      <c r="F15" s="27"/>
      <c r="G15" s="27"/>
    </row>
    <row r="16" customFormat="false" ht="21.75" hidden="false" customHeight="true" outlineLevel="0" collapsed="false">
      <c r="B16" t="s" s="34">
        <v>47</v>
      </c>
      <c r="C16" t="s" s="29">
        <v>48</v>
      </c>
      <c r="D16" s="35">
        <v>0</v>
      </c>
      <c r="E16" s="31">
        <f aca="false">IFERROR(D16/$D$21,0)</f>
      </c>
      <c r="F16" s="31"/>
      <c r="G16" s="31"/>
    </row>
    <row r="17" customFormat="false" ht="21.75" hidden="false" customHeight="true" outlineLevel="0" collapsed="false">
      <c r="B17" t="s" s="32">
        <v>49</v>
      </c>
      <c r="C17" t="s" s="25">
        <v>50</v>
      </c>
      <c r="D17" s="33">
        <v>0</v>
      </c>
      <c r="E17" s="27">
        <f aca="false">IFERROR(D17/$D$21,0)</f>
      </c>
      <c r="F17" s="27"/>
      <c r="G17" s="27"/>
    </row>
    <row r="18" customFormat="false" ht="21.75" hidden="false" customHeight="true" outlineLevel="0" collapsed="false">
      <c r="B18" t="s" s="36">
        <v>51</v>
      </c>
      <c r="C18" t="s" s="29">
        <v>52</v>
      </c>
      <c r="D18" s="35">
        <v>0</v>
      </c>
      <c r="E18" s="31">
        <f aca="false">IFERROR(D18/$D$21,0)</f>
      </c>
      <c r="F18" s="31"/>
      <c r="G18" s="31"/>
    </row>
    <row r="19" customFormat="false" ht="21.75" hidden="false" customHeight="true" outlineLevel="0" collapsed="false">
      <c r="B19" t="s" s="37">
        <v>53</v>
      </c>
      <c r="C19" t="s" s="25">
        <v>54</v>
      </c>
      <c r="D19" s="33">
        <v>0</v>
      </c>
      <c r="E19" s="27">
        <f aca="false">IFERROR(D19/$D$21,0)</f>
      </c>
      <c r="F19" s="27"/>
      <c r="G19" s="27"/>
    </row>
    <row r="20" customFormat="false" ht="21.75" hidden="false" customHeight="true" outlineLevel="0" collapsed="false">
      <c r="B20" t="s" s="38">
        <v>55</v>
      </c>
      <c r="C20" t="s" s="29">
        <v>56</v>
      </c>
      <c r="D20" s="35">
        <v>0</v>
      </c>
      <c r="E20" s="31">
        <f aca="false">IFERROR(D20/$D$21,0)</f>
      </c>
      <c r="F20" s="31"/>
      <c r="G20" s="31"/>
    </row>
    <row r="21" customFormat="false" ht="30" hidden="false" customHeight="true" outlineLevel="0" collapsed="false">
      <c r="B21" t="s" s="39">
        <v>57</v>
      </c>
      <c r="C21" t="s" s="40">
        <v>58</v>
      </c>
      <c r="D21" s="41">
        <f aca="false">SUM(D15:D20)</f>
      </c>
      <c r="E21" t="s" s="42">
        <v>59</v>
      </c>
      <c r="F21" s="42"/>
      <c r="G21" s="42"/>
    </row>
    <row r="23" customFormat="false" ht="24" hidden="false" customHeight="true" outlineLevel="0" collapsed="false">
      <c r="B23" t="s" s="22">
        <v>60</v>
      </c>
      <c r="C23" s="22"/>
      <c r="D23" s="22"/>
      <c r="E23" s="22"/>
      <c r="F23" s="22"/>
      <c r="G23" s="22"/>
    </row>
    <row r="24" customFormat="false" ht="27.75" hidden="false" customHeight="true" outlineLevel="0" collapsed="false">
      <c r="B24" t="s" s="23">
        <v>34</v>
      </c>
      <c r="C24" t="s" s="23">
        <v>35</v>
      </c>
      <c r="D24" t="s" s="23">
        <v>36</v>
      </c>
      <c r="E24" t="s" s="23">
        <v>61</v>
      </c>
      <c r="F24" s="23"/>
      <c r="G24" s="23"/>
    </row>
    <row r="25" customFormat="false" ht="24" hidden="false" customHeight="true" outlineLevel="0" collapsed="false">
      <c r="B25" t="s" s="24">
        <v>62</v>
      </c>
      <c r="C25" t="s" s="25">
        <v>63</v>
      </c>
      <c r="D25" s="26">
        <v>0</v>
      </c>
      <c r="E25" t="s" s="43">
        <v>59</v>
      </c>
      <c r="F25" s="43"/>
      <c r="G25" s="43"/>
    </row>
    <row r="26" customFormat="false" ht="24" hidden="false" customHeight="true" outlineLevel="0" collapsed="false">
      <c r="B26" t="s" s="28">
        <v>64</v>
      </c>
      <c r="C26" t="s" s="29">
        <v>65</v>
      </c>
      <c r="D26" s="30">
        <v>0</v>
      </c>
      <c r="E26" s="44">
        <f aca="false">IFERROR(D26/D25,0)</f>
      </c>
      <c r="F26" s="44"/>
      <c r="G26" s="44"/>
    </row>
    <row r="27" customFormat="false" ht="24" hidden="false" customHeight="true" outlineLevel="0" collapsed="false">
      <c r="B27" t="s" s="24">
        <v>66</v>
      </c>
      <c r="C27" t="s" s="25">
        <v>67</v>
      </c>
      <c r="D27" s="45">
        <f aca="false">D25-D26</f>
      </c>
      <c r="E27" s="27">
        <f aca="false">IFERROR(D27/D25,0)</f>
      </c>
      <c r="F27" s="27"/>
      <c r="G27" s="27"/>
    </row>
    <row r="29" customFormat="false" ht="24" hidden="false" customHeight="true" outlineLevel="0" collapsed="false">
      <c r="B29" t="s" s="22">
        <v>68</v>
      </c>
      <c r="C29" s="22"/>
      <c r="D29" s="22"/>
      <c r="E29" s="22"/>
      <c r="F29" s="22"/>
      <c r="G29" s="22"/>
    </row>
    <row r="31" customFormat="false" ht="21.75" hidden="false" customHeight="true" outlineLevel="0" collapsed="false">
      <c r="B31" t="s" s="46">
        <v>34</v>
      </c>
      <c r="C31" t="s" s="46">
        <v>36</v>
      </c>
    </row>
    <row r="32" customFormat="false" ht="19.5" hidden="false" customHeight="true" outlineLevel="0" collapsed="false">
      <c r="B32" t="s" s="47">
        <v>27</v>
      </c>
      <c r="C32" s="48">
        <f aca="false">D9</f>
      </c>
    </row>
    <row r="33" customFormat="false" ht="19.5" hidden="false" customHeight="true" outlineLevel="0" collapsed="false">
      <c r="B33" t="s" s="49">
        <v>69</v>
      </c>
      <c r="C33" s="50">
        <f aca="false">D21</f>
      </c>
    </row>
    <row r="34" customFormat="false" ht="19.5" hidden="false" customHeight="true" outlineLevel="0" collapsed="false">
      <c r="B34" t="s" s="47">
        <v>28</v>
      </c>
      <c r="C34" s="48">
        <f aca="false">D10</f>
      </c>
    </row>
    <row r="35" customFormat="false" ht="19.5" hidden="false" customHeight="true" outlineLevel="0" collapsed="false">
      <c r="B35" t="s" s="49">
        <v>70</v>
      </c>
      <c r="C35" s="50">
        <f aca="false">D11</f>
      </c>
    </row>
    <row r="37" customFormat="false" ht="24" hidden="false" customHeight="true" outlineLevel="0" collapsed="false">
      <c r="B37" t="s" s="51">
        <v>71</v>
      </c>
      <c r="C37" s="51"/>
      <c r="D37" t="s" s="52">
        <v>72</v>
      </c>
      <c r="E37" s="52"/>
      <c r="F37" t="s" s="53">
        <v>73</v>
      </c>
      <c r="G37" s="53"/>
    </row>
    <row r="38" customFormat="false" ht="31.5" hidden="false" customHeight="true" outlineLevel="0" collapsed="false">
      <c r="B38" s="54">
        <f aca="false">IFERROR(D11/D21,0)</f>
      </c>
      <c r="C38" s="54"/>
      <c r="D38" s="55">
        <f aca="false">IFERROR(D11/D10,0)</f>
      </c>
      <c r="E38" s="55"/>
      <c r="F38" s="56">
        <f aca="false">IFERROR((D10-D21)/D21,0)</f>
      </c>
      <c r="G38" s="56"/>
    </row>
  </sheetData>
  <mergeCells count="27">
    <mergeCell ref="B2:G2"/>
    <mergeCell ref="B5:G5"/>
    <mergeCell ref="E7:G7"/>
    <mergeCell ref="E9:G9"/>
    <mergeCell ref="E10:G10"/>
    <mergeCell ref="E11:G11"/>
    <mergeCell ref="B13:G13"/>
    <mergeCell ref="E14:G14"/>
    <mergeCell ref="E15:G15"/>
    <mergeCell ref="E16:G16"/>
    <mergeCell ref="E17:G17"/>
    <mergeCell ref="E18:G18"/>
    <mergeCell ref="E19:G19"/>
    <mergeCell ref="E20:G20"/>
    <mergeCell ref="E21:G21"/>
    <mergeCell ref="B23:G23"/>
    <mergeCell ref="E24:G24"/>
    <mergeCell ref="E25:G25"/>
    <mergeCell ref="E26:G26"/>
    <mergeCell ref="E27:G27"/>
    <mergeCell ref="B29:G29"/>
    <mergeCell ref="B37:C37"/>
    <mergeCell ref="D37:E37"/>
    <mergeCell ref="F37:G37"/>
    <mergeCell ref="B38:C38"/>
    <mergeCell ref="D38:E38"/>
    <mergeCell ref="F38:G3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6" min="3" style="1" width="18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t="s" s="21">
        <v>74</v>
      </c>
      <c r="C2" s="21"/>
      <c r="D2" s="21"/>
      <c r="E2" s="21"/>
      <c r="F2" s="21"/>
      <c r="G2" s="21"/>
      <c r="H2" s="21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B5" t="s" s="12">
        <v>75</v>
      </c>
      <c r="C5" s="12"/>
      <c r="D5" t="s" s="57">
        <v>76</v>
      </c>
      <c r="E5" t="s" s="58">
        <v>77</v>
      </c>
      <c r="F5" s="58"/>
      <c r="G5" t="s" s="14">
        <v>78</v>
      </c>
      <c r="H5" s="14"/>
    </row>
    <row r="6" customFormat="false" ht="37.5" hidden="false" customHeight="true" outlineLevel="0" collapsed="false">
      <c r="B6" s="59">
        <f aca="false">'Anggaran vs Realisasi'!D10</f>
      </c>
      <c r="C6" s="59"/>
      <c r="D6" s="60">
        <f aca="false">'Anggaran vs Realisasi'!E10</f>
      </c>
      <c r="E6" s="61">
        <f aca="false">IFERROR('Anggaran vs Realisasi'!E10/'Anggaran vs Realisasi'!D10,0)</f>
      </c>
      <c r="F6" s="61"/>
      <c r="G6" s="62">
        <f aca="false">'Anggaran vs Realisasi'!F10</f>
      </c>
      <c r="H6" s="62"/>
    </row>
    <row r="7" customFormat="false" ht="18" hidden="false" customHeight="true" outlineLevel="0" collapsed="false">
      <c r="B7" t="s" s="63">
        <v>79</v>
      </c>
      <c r="C7" s="63"/>
      <c r="D7" t="s" s="64">
        <v>80</v>
      </c>
      <c r="E7" t="s" s="63">
        <v>81</v>
      </c>
      <c r="F7" s="63"/>
      <c r="G7" t="s" s="63">
        <v>82</v>
      </c>
      <c r="H7" s="63"/>
    </row>
    <row r="9" customFormat="false" ht="25.5" hidden="false" customHeight="true" outlineLevel="0" collapsed="false">
      <c r="B9" t="s" s="65">
        <v>83</v>
      </c>
      <c r="C9" s="65"/>
      <c r="D9" s="65"/>
      <c r="E9" s="65"/>
      <c r="F9" s="65"/>
      <c r="G9" s="65"/>
      <c r="H9" s="65"/>
    </row>
    <row r="11" customFormat="false" ht="21.75" hidden="false" customHeight="true" outlineLevel="0" collapsed="false">
      <c r="B11" t="s" s="51">
        <v>84</v>
      </c>
      <c r="C11" s="51"/>
      <c r="D11" t="s" s="66">
        <v>85</v>
      </c>
      <c r="E11" s="66"/>
      <c r="F11" t="s" s="52">
        <v>86</v>
      </c>
      <c r="G11" s="52"/>
      <c r="H11" s="52"/>
    </row>
    <row r="12" customFormat="false" ht="31.5" hidden="false" customHeight="true" outlineLevel="0" collapsed="false">
      <c r="B12" s="67">
        <f aca="false">SUMPRODUCT(('Cashflow Timeline'!E7:E106="pemasukan")*'Cashflow Timeline'!G7:G106)</f>
      </c>
      <c r="C12" s="67"/>
      <c r="D12" s="68">
        <f aca="false">SUMPRODUCT(('Cashflow Timeline'!E7:E106="pengeluaran")*'Cashflow Timeline'!G7:G106)</f>
      </c>
      <c r="E12" s="68"/>
      <c r="F12" s="69">
        <f aca="false">B12-D12</f>
      </c>
      <c r="G12" s="69"/>
      <c r="H12" s="69"/>
    </row>
    <row r="14" customFormat="false" ht="25.5" hidden="false" customHeight="true" outlineLevel="0" collapsed="false">
      <c r="B14" t="s" s="65">
        <v>87</v>
      </c>
      <c r="C14" s="65"/>
      <c r="D14" s="65"/>
      <c r="E14" s="65"/>
      <c r="F14" s="65"/>
      <c r="G14" s="65"/>
      <c r="H14" s="65"/>
    </row>
    <row r="16" customFormat="false" ht="31.5" hidden="false" customHeight="true" outlineLevel="0" collapsed="false">
      <c r="B16" t="s" s="23">
        <v>88</v>
      </c>
      <c r="C16" t="s" s="23">
        <v>89</v>
      </c>
      <c r="D16" t="s" s="23">
        <v>90</v>
      </c>
      <c r="E16" t="s" s="23">
        <v>91</v>
      </c>
      <c r="F16" t="s" s="23">
        <v>92</v>
      </c>
      <c r="G16" t="s" s="23">
        <v>93</v>
      </c>
      <c r="H16" t="s" s="23">
        <v>94</v>
      </c>
    </row>
    <row r="17" customFormat="false" ht="25.5" hidden="false" customHeight="true" outlineLevel="0" collapsed="false">
      <c r="B17" t="s" s="70">
        <v>95</v>
      </c>
      <c r="C17" t="s" s="71">
        <v>96</v>
      </c>
      <c r="D17" s="33">
        <f aca="false">'Dompet Utama'!E5</f>
      </c>
      <c r="E17" s="72">
        <f aca="false">'Dompet Utama'!E6</f>
      </c>
      <c r="F17" s="48">
        <f aca="false">D17-E17</f>
      </c>
      <c r="G17" s="73">
        <f aca="false">IFERROR(E17/D17,0)</f>
      </c>
      <c r="H17" s="74">
        <f aca="false">IF(D17=0,"-",IF(E17&gt;D17,"OVER BUDGET",IF(E17/D17&gt;=0.9,"WASPADA","AMAN")))</f>
      </c>
    </row>
    <row r="18" customFormat="false" ht="25.5" hidden="false" customHeight="true" outlineLevel="0" collapsed="false">
      <c r="B18" t="s" s="75">
        <v>97</v>
      </c>
      <c r="C18" t="s" s="76">
        <v>98</v>
      </c>
      <c r="D18" s="35">
        <f aca="false">'Dompet Dokumen'!E5</f>
      </c>
      <c r="E18" s="77">
        <f aca="false">'Dompet Dokumen'!E6</f>
      </c>
      <c r="F18" s="50">
        <f aca="false">D18-E18</f>
      </c>
      <c r="G18" s="78">
        <f aca="false">IFERROR(E18/D18,0)</f>
      </c>
      <c r="H18" s="79">
        <f aca="false">IF(D18=0,"-",IF(E18&gt;D18,"OVER BUDGET",IF(E18/D18&gt;=0.9,"WASPADA","AMAN")))</f>
      </c>
    </row>
    <row r="19" customFormat="false" ht="25.5" hidden="false" customHeight="true" outlineLevel="0" collapsed="false">
      <c r="B19" t="s" s="80">
        <v>99</v>
      </c>
      <c r="C19" t="s" s="71">
        <v>100</v>
      </c>
      <c r="D19" s="33">
        <f aca="false">'Dompet Renovasi'!E5</f>
      </c>
      <c r="E19" s="72">
        <f aca="false">'Dompet Renovasi'!E6</f>
      </c>
      <c r="F19" s="48">
        <f aca="false">D19-E19</f>
      </c>
      <c r="G19" s="73">
        <f aca="false">IFERROR(E19/D19,0)</f>
      </c>
      <c r="H19" s="74">
        <f aca="false">IF(D19=0,"-",IF(E19&gt;D19,"OVER BUDGET",IF(E19/D19&gt;=0.9,"WASPADA","AMAN")))</f>
      </c>
    </row>
    <row r="20" customFormat="false" ht="25.5" hidden="false" customHeight="true" outlineLevel="0" collapsed="false">
      <c r="B20" t="s" s="81">
        <v>101</v>
      </c>
      <c r="C20" t="s" s="76">
        <v>102</v>
      </c>
      <c r="D20" s="35">
        <f aca="false">'Dompet Cadangan'!E5</f>
      </c>
      <c r="E20" s="77">
        <f aca="false">'Dompet Cadangan'!E6</f>
      </c>
      <c r="F20" s="50">
        <f aca="false">D20-E20</f>
      </c>
      <c r="G20" s="78">
        <f aca="false">IFERROR(E20/D20,0)</f>
      </c>
      <c r="H20" s="79">
        <f aca="false">IF(D20=0,"-",IF(E20&gt;D20,"OVER BUDGET",IF(E20/D20&gt;=0.9,"WASPADA","AMAN")))</f>
      </c>
    </row>
    <row r="21" customFormat="false" ht="30" hidden="false" customHeight="true" outlineLevel="0" collapsed="false">
      <c r="B21" t="s" s="82">
        <v>103</v>
      </c>
      <c r="C21" t="s" s="23">
        <v>104</v>
      </c>
      <c r="D21" s="83">
        <f aca="false">SUM(D17:D20)</f>
      </c>
      <c r="E21" s="83">
        <f aca="false">SUM(E17:E20)</f>
      </c>
      <c r="F21" s="83">
        <f aca="false">D21-E21</f>
      </c>
      <c r="G21" s="84">
        <f aca="false">IFERROR(E21/D21,0)</f>
      </c>
      <c r="H21" s="82">
        <f aca="false">IF(D21=0,"-",IF(E21&gt;D21,"OVER BUDGET",IF(E21/D21&gt;=0.9,"WASPADA","AMAN")))</f>
      </c>
    </row>
    <row r="24" customFormat="false" ht="25.5" hidden="false" customHeight="true" outlineLevel="0" collapsed="false">
      <c r="B24" t="s" s="65">
        <v>105</v>
      </c>
      <c r="C24" s="65"/>
      <c r="D24" s="65"/>
      <c r="E24" s="65"/>
      <c r="F24" s="65"/>
      <c r="G24" s="65"/>
      <c r="H24" s="65"/>
    </row>
    <row r="26" customFormat="false" ht="21.75" hidden="false" customHeight="true" outlineLevel="0" collapsed="false">
      <c r="B26" s="85">
        <f aca="false">CONCATENATE("• Total anggaran proyek sebesar ",TEXT(D21,"""Rp""#,##0")," dengan realisasi ",TEXT(E21,"""Rp""#,##0")," (",TEXT(G21,"0.0%")," dari plafon).")</f>
      </c>
      <c r="C26" s="85"/>
      <c r="D26" s="85"/>
      <c r="E26" s="85"/>
      <c r="F26" s="85"/>
      <c r="G26" s="85"/>
      <c r="H26" s="85"/>
    </row>
    <row r="27" customFormat="false" ht="21.75" hidden="false" customHeight="true" outlineLevel="0" collapsed="false">
      <c r="B27" s="85">
        <f aca="false">CONCATENATE("• Sisa anggaran tersedia: ",TEXT(F21,"""Rp""#,##0"),".")</f>
      </c>
      <c r="C27" s="85"/>
      <c r="D27" s="85"/>
      <c r="E27" s="85"/>
      <c r="F27" s="85"/>
      <c r="G27" s="85"/>
      <c r="H27" s="85"/>
    </row>
    <row r="28" customFormat="false" ht="21.75" hidden="false" customHeight="true" outlineLevel="0" collapsed="false">
      <c r="B28" s="85">
        <f aca="false">CONCATENATE("• Status keseluruhan: ",H21,".")</f>
      </c>
      <c r="C28" s="85"/>
      <c r="D28" s="85"/>
      <c r="E28" s="85"/>
      <c r="F28" s="85"/>
      <c r="G28" s="85"/>
      <c r="H28" s="85"/>
    </row>
    <row r="29" customFormat="false" ht="21.75" hidden="false" customHeight="true" outlineLevel="0" collapsed="false">
      <c r="B29" s="85">
        <f aca="false">CONCATENATE("• Estimasi profit bersih: ",TEXT('Profil Proyek'!D11,"""Rp""#,##0")," (ROI: ",TEXT(IFERROR('Profil Proyek'!D11/'Profil Proyek'!D21,0),"0.0%"),").")</f>
      </c>
      <c r="C29" s="85"/>
      <c r="D29" s="85"/>
      <c r="E29" s="85"/>
      <c r="F29" s="85"/>
      <c r="G29" s="85"/>
      <c r="H29" s="85"/>
    </row>
    <row r="30" customFormat="false" ht="21.75" hidden="false" customHeight="true" outlineLevel="0" collapsed="false">
      <c r="B30" t="s" s="86">
        <v>106</v>
      </c>
      <c r="C30" s="86"/>
      <c r="D30" s="86"/>
      <c r="E30" s="86"/>
      <c r="F30" s="86"/>
      <c r="G30" s="86"/>
      <c r="H30" s="86"/>
    </row>
    <row r="33" customFormat="false" ht="19.5" hidden="false" customHeight="true" outlineLevel="0" collapsed="false">
      <c r="B33" t="s" s="87">
        <v>107</v>
      </c>
      <c r="C33" s="87"/>
      <c r="D33" t="s" s="87">
        <v>108</v>
      </c>
      <c r="E33" s="87"/>
      <c r="F33" t="s" s="87">
        <v>109</v>
      </c>
      <c r="G33" s="87"/>
      <c r="H33" s="87"/>
    </row>
    <row r="34" customFormat="false" ht="49.5" hidden="false" customHeight="true" outlineLevel="0" collapsed="false"/>
    <row r="35" customFormat="false" ht="15" hidden="false" customHeight="true" outlineLevel="0" collapsed="false">
      <c r="B35" t="s" s="88">
        <v>110</v>
      </c>
      <c r="C35" s="88"/>
      <c r="D35" t="s" s="88">
        <v>110</v>
      </c>
      <c r="E35" s="88"/>
      <c r="F35" t="s" s="88">
        <v>110</v>
      </c>
      <c r="G35" s="88"/>
      <c r="H35" s="88"/>
    </row>
    <row r="36" customFormat="false" ht="15" hidden="false" customHeight="true" outlineLevel="0" collapsed="false">
      <c r="B36" t="s" s="89">
        <v>111</v>
      </c>
      <c r="C36" s="89"/>
      <c r="D36" t="s" s="89">
        <v>112</v>
      </c>
      <c r="E36" s="89"/>
      <c r="F36" t="s" s="89">
        <v>113</v>
      </c>
      <c r="G36" s="89"/>
      <c r="H36" s="89"/>
    </row>
  </sheetData>
  <mergeCells count="33">
    <mergeCell ref="B2:H2"/>
    <mergeCell ref="B5:C5"/>
    <mergeCell ref="E5:F5"/>
    <mergeCell ref="G5:H5"/>
    <mergeCell ref="B6:C6"/>
    <mergeCell ref="E6:F6"/>
    <mergeCell ref="G6:H6"/>
    <mergeCell ref="B7:C7"/>
    <mergeCell ref="E7:F7"/>
    <mergeCell ref="G7:H7"/>
    <mergeCell ref="B9:H9"/>
    <mergeCell ref="B11:C11"/>
    <mergeCell ref="D11:E11"/>
    <mergeCell ref="F11:H11"/>
    <mergeCell ref="B12:C12"/>
    <mergeCell ref="D12:E12"/>
    <mergeCell ref="F12:H12"/>
    <mergeCell ref="B14:H14"/>
    <mergeCell ref="B24:H24"/>
    <mergeCell ref="B26:H26"/>
    <mergeCell ref="B27:H27"/>
    <mergeCell ref="B28:H28"/>
    <mergeCell ref="B29:H29"/>
    <mergeCell ref="B30:H30"/>
    <mergeCell ref="B33:C33"/>
    <mergeCell ref="D33:E33"/>
    <mergeCell ref="F33:H33"/>
    <mergeCell ref="B35:C35"/>
    <mergeCell ref="D35:E35"/>
    <mergeCell ref="F35:H35"/>
    <mergeCell ref="B36:C36"/>
    <mergeCell ref="D36:E36"/>
    <mergeCell ref="F36:H36"/>
  </mergeCells>
  <conditionalFormatting sqref="H17:H21">
    <cfRule type="expression" priority="2" aboveAverage="0" equalAverage="0" bottom="0" percent="0" rank="0" text="" dxfId="0">
      <formula>$H17="OVER BUDGET"</formula>
    </cfRule>
    <cfRule type="expression" priority="3" aboveAverage="0" equalAverage="0" bottom="0" percent="0" rank="0" text="" dxfId="1">
      <formula>$H17="WASPADA"</formula>
    </cfRule>
    <cfRule type="expression" priority="4" aboveAverage="0" equalAverage="0" bottom="0" percent="0" rank="0" text="" dxfId="2">
      <formula>$H17="AMAN"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597"/>
    <pageSetUpPr fitToPage="true"/>
  </sheetPr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6" min="4" style="1" width="17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22"/>
  </cols>
  <sheetData>
    <row r="1" customFormat="false" ht="7.5" hidden="false" customHeight="true" outlineLevel="0" collapsed="false"/>
    <row r="2" customFormat="false" ht="30" hidden="false" customHeight="true" outlineLevel="0" collapsed="false">
      <c r="B2" t="s" s="21">
        <v>114</v>
      </c>
      <c r="C2" s="21"/>
      <c r="D2" s="21"/>
      <c r="E2" s="21"/>
      <c r="F2" s="21"/>
      <c r="G2" s="21"/>
      <c r="H2" s="21"/>
      <c r="I2" s="21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  <c r="I3" s="6"/>
    </row>
    <row r="5" customFormat="false" ht="31.5" hidden="false" customHeight="true" outlineLevel="0" collapsed="false">
      <c r="B5" t="s" s="23">
        <v>88</v>
      </c>
      <c r="C5" t="s" s="23">
        <v>89</v>
      </c>
      <c r="D5" t="s" s="23">
        <v>90</v>
      </c>
      <c r="E5" t="s" s="23">
        <v>91</v>
      </c>
      <c r="F5" t="s" s="23">
        <v>115</v>
      </c>
      <c r="G5" t="s" s="23">
        <v>93</v>
      </c>
      <c r="H5" t="s" s="23">
        <v>94</v>
      </c>
      <c r="I5" t="s" s="23">
        <v>116</v>
      </c>
    </row>
    <row r="6" customFormat="false" ht="25.5" hidden="false" customHeight="true" outlineLevel="0" collapsed="false">
      <c r="B6" t="s" s="70">
        <v>95</v>
      </c>
      <c r="C6" t="s" s="71">
        <v>96</v>
      </c>
      <c r="D6" s="33">
        <f aca="false">'Dompet Utama'!E5</f>
      </c>
      <c r="E6" s="72">
        <f aca="false">'Dompet Utama'!E6</f>
      </c>
      <c r="F6" s="48">
        <f aca="false">D6-E6</f>
      </c>
      <c r="G6" s="73">
        <f aca="false">IFERROR(E6/D6,0)</f>
      </c>
      <c r="H6" s="74">
        <f aca="false">IF(D6=0,"-",IF(E6&gt;D6,"OVER BUDGET",IF(E6/D6&gt;=0.9,"WASPADA","AMAN")))</f>
      </c>
      <c r="I6" t="s" s="90">
        <v>117</v>
      </c>
    </row>
    <row r="7" customFormat="false" ht="25.5" hidden="false" customHeight="true" outlineLevel="0" collapsed="false">
      <c r="B7" t="s" s="75">
        <v>97</v>
      </c>
      <c r="C7" t="s" s="76">
        <v>98</v>
      </c>
      <c r="D7" s="35">
        <f aca="false">'Dompet Dokumen'!E5</f>
      </c>
      <c r="E7" s="77">
        <f aca="false">'Dompet Dokumen'!E6</f>
      </c>
      <c r="F7" s="50">
        <f aca="false">D7-E7</f>
      </c>
      <c r="G7" s="78">
        <f aca="false">IFERROR(E7/D7,0)</f>
      </c>
      <c r="H7" s="79">
        <f aca="false">IF(D7=0,"-",IF(E7&gt;D7,"OVER BUDGET",IF(E7/D7&gt;=0.9,"WASPADA","AMAN")))</f>
      </c>
      <c r="I7" t="s" s="91">
        <v>117</v>
      </c>
    </row>
    <row r="8" customFormat="false" ht="25.5" hidden="false" customHeight="true" outlineLevel="0" collapsed="false">
      <c r="B8" t="s" s="80">
        <v>99</v>
      </c>
      <c r="C8" t="s" s="71">
        <v>100</v>
      </c>
      <c r="D8" s="33">
        <f aca="false">'Dompet Renovasi'!E5</f>
      </c>
      <c r="E8" s="72">
        <f aca="false">'Dompet Renovasi'!E6</f>
      </c>
      <c r="F8" s="48">
        <f aca="false">D8-E8</f>
      </c>
      <c r="G8" s="73">
        <f aca="false">IFERROR(E8/D8,0)</f>
      </c>
      <c r="H8" s="74">
        <f aca="false">IF(D8=0,"-",IF(E8&gt;D8,"OVER BUDGET",IF(E8/D8&gt;=0.9,"WASPADA","AMAN")))</f>
      </c>
      <c r="I8" t="s" s="90">
        <v>117</v>
      </c>
    </row>
    <row r="9" customFormat="false" ht="25.5" hidden="false" customHeight="true" outlineLevel="0" collapsed="false">
      <c r="B9" t="s" s="81">
        <v>101</v>
      </c>
      <c r="C9" t="s" s="76">
        <v>102</v>
      </c>
      <c r="D9" s="35">
        <f aca="false">'Dompet Cadangan'!E5</f>
      </c>
      <c r="E9" s="77">
        <f aca="false">'Dompet Cadangan'!E6</f>
      </c>
      <c r="F9" s="50">
        <f aca="false">D9-E9</f>
      </c>
      <c r="G9" s="78">
        <f aca="false">IFERROR(E9/D9,0)</f>
      </c>
      <c r="H9" s="79">
        <f aca="false">IF(D9=0,"-",IF(E9&gt;D9,"OVER BUDGET",IF(E9/D9&gt;=0.9,"WASPADA","AMAN")))</f>
      </c>
      <c r="I9" t="s" s="91">
        <v>117</v>
      </c>
    </row>
    <row r="10" customFormat="false" ht="31.5" hidden="false" customHeight="true" outlineLevel="0" collapsed="false">
      <c r="B10" t="s" s="92">
        <v>103</v>
      </c>
      <c r="C10" t="s" s="23">
        <v>104</v>
      </c>
      <c r="D10" s="93">
        <f aca="false">SUM(D6:D9)</f>
      </c>
      <c r="E10" s="93">
        <f aca="false">SUM(E6:E9)</f>
      </c>
      <c r="F10" s="93">
        <f aca="false">D10-E10</f>
      </c>
      <c r="G10" s="94">
        <f aca="false">IFERROR(E10/D10,0)</f>
      </c>
      <c r="H10" s="92">
        <f aca="false">IF(D10=0,"-",IF(E10&gt;D10,"OVER BUDGET",IF(E10/D10&gt;=0.9,"WASPADA","AMAN")))</f>
      </c>
      <c r="I10" t="s" s="92">
        <v>118</v>
      </c>
    </row>
    <row r="13" customFormat="false" ht="25.5" hidden="false" customHeight="true" outlineLevel="0" collapsed="false">
      <c r="B13" t="s" s="22">
        <v>119</v>
      </c>
      <c r="C13" s="22"/>
      <c r="D13" s="22"/>
      <c r="E13" s="22"/>
      <c r="F13" s="22"/>
      <c r="G13" s="22"/>
      <c r="H13" s="22"/>
      <c r="I13" s="22"/>
    </row>
  </sheetData>
  <mergeCells count="2">
    <mergeCell ref="B2:I2"/>
    <mergeCell ref="B13:I13"/>
  </mergeCells>
  <conditionalFormatting sqref="H6:H10">
    <cfRule type="expression" priority="2" aboveAverage="0" equalAverage="0" bottom="0" percent="0" rank="0" text="" dxfId="0">
      <formula>$H6="OVER BUDGET"</formula>
    </cfRule>
    <cfRule type="expression" priority="3" aboveAverage="0" equalAverage="0" bottom="0" percent="0" rank="0" text="" dxfId="1">
      <formula>$H6="WASPADA"</formula>
    </cfRule>
    <cfRule type="expression" priority="4" aboveAverage="0" equalAverage="0" bottom="0" percent="0" rank="0" text="" dxfId="2">
      <formula>$H6="AMAN"</formula>
    </cfRule>
  </conditionalFormatting>
  <conditionalFormatting sqref="F6:F10">
    <cfRule type="cellIs" priority="5" operator="lessThan" aboveAverage="0" equalAverage="0" bottom="0" percent="0" rank="0" text="" dxfId="3">
      <formula>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F3D"/>
    <pageSetUpPr fitToPage="true"/>
  </sheetPr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30"/>
    <col collapsed="false" customWidth="true" hidden="false" outlineLevel="0" max="10" min="10" style="1" width="12"/>
    <col collapsed="false" customWidth="true" hidden="false" outlineLevel="0" max="11" min="11" style="1" width="22"/>
    <col collapsed="false" customWidth="true" hidden="false" outlineLevel="0" max="12" min="12" style="1" width="18"/>
    <col collapsed="false" customWidth="true" hidden="false" outlineLevel="0" max="13" min="13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t="s" s="95">
        <v>120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21.75" hidden="false" customHeight="true" outlineLevel="0" collapsed="false">
      <c r="B4" t="s" s="19">
        <v>121</v>
      </c>
      <c r="C4" s="19"/>
      <c r="D4" s="19"/>
      <c r="E4" s="19"/>
      <c r="F4" s="19"/>
      <c r="G4" s="19"/>
      <c r="H4" s="19"/>
      <c r="I4" s="19"/>
      <c r="J4" s="19"/>
      <c r="K4" s="19"/>
      <c r="L4" s="19"/>
    </row>
    <row r="6" customFormat="false" ht="36" hidden="false" customHeight="true" outlineLevel="0" collapsed="false">
      <c r="B6" t="s" s="23">
        <v>122</v>
      </c>
      <c r="C6" t="s" s="23">
        <v>123</v>
      </c>
      <c r="D6" t="s" s="23">
        <v>124</v>
      </c>
      <c r="E6" t="s" s="23">
        <v>125</v>
      </c>
      <c r="F6" t="s" s="23">
        <v>126</v>
      </c>
      <c r="G6" t="s" s="23">
        <v>127</v>
      </c>
      <c r="H6" t="s" s="23">
        <v>128</v>
      </c>
      <c r="I6" t="s" s="23">
        <v>129</v>
      </c>
      <c r="J6" t="s" s="23">
        <v>94</v>
      </c>
      <c r="K6" t="s" s="23">
        <v>130</v>
      </c>
      <c r="L6" t="s" s="23">
        <v>131</v>
      </c>
    </row>
    <row r="7" customFormat="false" ht="21.75" hidden="false" customHeight="true" outlineLevel="0" collapsed="false">
      <c r="B7" s="43">
        <f aca="false">IF(C7="","",ROW()-6)</f>
      </c>
      <c r="C7" s="96"/>
      <c r="D7" s="97"/>
      <c r="E7" s="97"/>
      <c r="F7" s="98"/>
      <c r="G7" s="33"/>
      <c r="H7" s="99"/>
      <c r="I7" s="98"/>
      <c r="J7" s="97"/>
      <c r="K7" s="98"/>
      <c r="L7" s="48">
        <f aca="false">IF(G7="","",IF(E7="pemasukan",G7,-G7))</f>
      </c>
    </row>
    <row r="8" customFormat="false" ht="21.75" hidden="false" customHeight="true" outlineLevel="0" collapsed="false">
      <c r="B8" s="100">
        <f aca="false">IF(C8="","",ROW()-6)</f>
      </c>
      <c r="C8" s="101"/>
      <c r="D8" s="102"/>
      <c r="E8" s="102"/>
      <c r="F8" s="103"/>
      <c r="G8" s="35"/>
      <c r="H8" s="104"/>
      <c r="I8" s="103"/>
      <c r="J8" s="102"/>
      <c r="K8" s="103"/>
      <c r="L8" s="50">
        <f aca="false">IF(G8="","",L7+IF(E8="pemasukan",G8,-G8))</f>
      </c>
    </row>
    <row r="9" customFormat="false" ht="21.75" hidden="false" customHeight="true" outlineLevel="0" collapsed="false">
      <c r="B9" s="43">
        <f aca="false">IF(C9="","",ROW()-6)</f>
      </c>
      <c r="C9" s="96"/>
      <c r="D9" s="97"/>
      <c r="E9" s="97"/>
      <c r="F9" s="98"/>
      <c r="G9" s="33"/>
      <c r="H9" s="99"/>
      <c r="I9" s="98"/>
      <c r="J9" s="97"/>
      <c r="K9" s="98"/>
      <c r="L9" s="48">
        <f aca="false">IF(G9="","",L8+IF(E9="pemasukan",G9,-G9))</f>
      </c>
    </row>
    <row r="10" customFormat="false" ht="21.75" hidden="false" customHeight="true" outlineLevel="0" collapsed="false">
      <c r="B10" s="100">
        <f aca="false">IF(C10="","",ROW()-6)</f>
      </c>
      <c r="C10" s="101"/>
      <c r="D10" s="102"/>
      <c r="E10" s="102"/>
      <c r="F10" s="103"/>
      <c r="G10" s="35"/>
      <c r="H10" s="104"/>
      <c r="I10" s="103"/>
      <c r="J10" s="102"/>
      <c r="K10" s="103"/>
      <c r="L10" s="50">
        <f aca="false">IF(G10="","",L9+IF(E10="pemasukan",G10,-G10))</f>
      </c>
    </row>
    <row r="11" customFormat="false" ht="21.75" hidden="false" customHeight="true" outlineLevel="0" collapsed="false">
      <c r="B11" s="43">
        <f aca="false">IF(C11="","",ROW()-6)</f>
      </c>
      <c r="C11" s="96"/>
      <c r="D11" s="97"/>
      <c r="E11" s="97"/>
      <c r="F11" s="98"/>
      <c r="G11" s="33"/>
      <c r="H11" s="99"/>
      <c r="I11" s="98"/>
      <c r="J11" s="97"/>
      <c r="K11" s="98"/>
      <c r="L11" s="48">
        <f aca="false">IF(G11="","",L10+IF(E11="pemasukan",G11,-G11))</f>
      </c>
    </row>
    <row r="12" customFormat="false" ht="21.75" hidden="false" customHeight="true" outlineLevel="0" collapsed="false">
      <c r="B12" s="100">
        <f aca="false">IF(C12="","",ROW()-6)</f>
      </c>
      <c r="C12" s="101"/>
      <c r="D12" s="102"/>
      <c r="E12" s="102"/>
      <c r="F12" s="103"/>
      <c r="G12" s="35"/>
      <c r="H12" s="104"/>
      <c r="I12" s="103"/>
      <c r="J12" s="102"/>
      <c r="K12" s="103"/>
      <c r="L12" s="50">
        <f aca="false">IF(G12="","",L11+IF(E12="pemasukan",G12,-G12))</f>
      </c>
    </row>
    <row r="13" customFormat="false" ht="21.75" hidden="false" customHeight="true" outlineLevel="0" collapsed="false">
      <c r="B13" s="43">
        <f aca="false">IF(C13="","",ROW()-6)</f>
      </c>
      <c r="C13" s="96"/>
      <c r="D13" s="97"/>
      <c r="E13" s="97"/>
      <c r="F13" s="98"/>
      <c r="G13" s="33"/>
      <c r="H13" s="99"/>
      <c r="I13" s="98"/>
      <c r="J13" s="97"/>
      <c r="K13" s="98"/>
      <c r="L13" s="48">
        <f aca="false">IF(G13="","",L12+IF(E13="pemasukan",G13,-G13))</f>
      </c>
    </row>
    <row r="14" customFormat="false" ht="21.75" hidden="false" customHeight="true" outlineLevel="0" collapsed="false">
      <c r="B14" s="100">
        <f aca="false">IF(C14="","",ROW()-6)</f>
      </c>
      <c r="C14" s="101"/>
      <c r="D14" s="102"/>
      <c r="E14" s="102"/>
      <c r="F14" s="103"/>
      <c r="G14" s="35"/>
      <c r="H14" s="104"/>
      <c r="I14" s="103"/>
      <c r="J14" s="102"/>
      <c r="K14" s="103"/>
      <c r="L14" s="50">
        <f aca="false">IF(G14="","",L13+IF(E14="pemasukan",G14,-G14))</f>
      </c>
    </row>
    <row r="15" customFormat="false" ht="21.75" hidden="false" customHeight="true" outlineLevel="0" collapsed="false">
      <c r="B15" s="43">
        <f aca="false">IF(C15="","",ROW()-6)</f>
      </c>
      <c r="C15" s="96"/>
      <c r="D15" s="97"/>
      <c r="E15" s="97"/>
      <c r="F15" s="98"/>
      <c r="G15" s="33"/>
      <c r="H15" s="99"/>
      <c r="I15" s="98"/>
      <c r="J15" s="97"/>
      <c r="K15" s="98"/>
      <c r="L15" s="48">
        <f aca="false">IF(G15="","",L14+IF(E15="pemasukan",G15,-G15))</f>
      </c>
    </row>
    <row r="16" customFormat="false" ht="21.75" hidden="false" customHeight="true" outlineLevel="0" collapsed="false">
      <c r="B16" s="100">
        <f aca="false">IF(C16="","",ROW()-6)</f>
      </c>
      <c r="C16" s="101"/>
      <c r="D16" s="102"/>
      <c r="E16" s="102"/>
      <c r="F16" s="103"/>
      <c r="G16" s="35"/>
      <c r="H16" s="104"/>
      <c r="I16" s="103"/>
      <c r="J16" s="102"/>
      <c r="K16" s="103"/>
      <c r="L16" s="50">
        <f aca="false">IF(G16="","",L15+IF(E16="pemasukan",G16,-G16))</f>
      </c>
    </row>
    <row r="17" customFormat="false" ht="21.75" hidden="false" customHeight="true" outlineLevel="0" collapsed="false">
      <c r="B17" s="43">
        <f aca="false">IF(C17="","",ROW()-6)</f>
      </c>
      <c r="C17" s="96"/>
      <c r="D17" s="97"/>
      <c r="E17" s="97"/>
      <c r="F17" s="98"/>
      <c r="G17" s="33"/>
      <c r="H17" s="99"/>
      <c r="I17" s="98"/>
      <c r="J17" s="97"/>
      <c r="K17" s="98"/>
      <c r="L17" s="48">
        <f aca="false">IF(G17="","",L16+IF(E17="pemasukan",G17,-G17))</f>
      </c>
    </row>
    <row r="18" customFormat="false" ht="21.75" hidden="false" customHeight="true" outlineLevel="0" collapsed="false">
      <c r="B18" s="100">
        <f aca="false">IF(C18="","",ROW()-6)</f>
      </c>
      <c r="C18" s="101"/>
      <c r="D18" s="102"/>
      <c r="E18" s="102"/>
      <c r="F18" s="103"/>
      <c r="G18" s="35"/>
      <c r="H18" s="104"/>
      <c r="I18" s="103"/>
      <c r="J18" s="102"/>
      <c r="K18" s="103"/>
      <c r="L18" s="50">
        <f aca="false">IF(G18="","",L17+IF(E18="pemasukan",G18,-G18))</f>
      </c>
    </row>
    <row r="19" customFormat="false" ht="21.75" hidden="false" customHeight="true" outlineLevel="0" collapsed="false">
      <c r="B19" s="43">
        <f aca="false">IF(C19="","",ROW()-6)</f>
      </c>
      <c r="C19" s="96"/>
      <c r="D19" s="97"/>
      <c r="E19" s="97"/>
      <c r="F19" s="98"/>
      <c r="G19" s="33"/>
      <c r="H19" s="99"/>
      <c r="I19" s="98"/>
      <c r="J19" s="97"/>
      <c r="K19" s="98"/>
      <c r="L19" s="48">
        <f aca="false">IF(G19="","",L18+IF(E19="pemasukan",G19,-G19))</f>
      </c>
    </row>
    <row r="20" customFormat="false" ht="21.75" hidden="false" customHeight="true" outlineLevel="0" collapsed="false">
      <c r="B20" s="100">
        <f aca="false">IF(C20="","",ROW()-6)</f>
      </c>
      <c r="C20" s="101"/>
      <c r="D20" s="102"/>
      <c r="E20" s="102"/>
      <c r="F20" s="103"/>
      <c r="G20" s="35"/>
      <c r="H20" s="104"/>
      <c r="I20" s="103"/>
      <c r="J20" s="102"/>
      <c r="K20" s="103"/>
      <c r="L20" s="50">
        <f aca="false">IF(G20="","",L19+IF(E20="pemasukan",G20,-G20))</f>
      </c>
    </row>
    <row r="21" customFormat="false" ht="21.75" hidden="false" customHeight="true" outlineLevel="0" collapsed="false">
      <c r="B21" s="43">
        <f aca="false">IF(C21="","",ROW()-6)</f>
      </c>
      <c r="C21" s="96"/>
      <c r="D21" s="97"/>
      <c r="E21" s="97"/>
      <c r="F21" s="98"/>
      <c r="G21" s="33"/>
      <c r="H21" s="99"/>
      <c r="I21" s="98"/>
      <c r="J21" s="97"/>
      <c r="K21" s="98"/>
      <c r="L21" s="48">
        <f aca="false">IF(G21="","",L20+IF(E21="pemasukan",G21,-G21))</f>
      </c>
    </row>
    <row r="22" customFormat="false" ht="21.75" hidden="false" customHeight="true" outlineLevel="0" collapsed="false">
      <c r="B22" s="100">
        <f aca="false">IF(C22="","",ROW()-6)</f>
      </c>
      <c r="C22" s="101"/>
      <c r="D22" s="102"/>
      <c r="E22" s="102"/>
      <c r="F22" s="103"/>
      <c r="G22" s="35"/>
      <c r="H22" s="104"/>
      <c r="I22" s="103"/>
      <c r="J22" s="102"/>
      <c r="K22" s="103"/>
      <c r="L22" s="50">
        <f aca="false">IF(G22="","",L21+IF(E22="pemasukan",G22,-G22))</f>
      </c>
    </row>
    <row r="23" customFormat="false" ht="21.75" hidden="false" customHeight="true" outlineLevel="0" collapsed="false">
      <c r="B23" s="43">
        <f aca="false">IF(C23="","",ROW()-6)</f>
      </c>
      <c r="C23" s="96"/>
      <c r="D23" s="97"/>
      <c r="E23" s="97"/>
      <c r="F23" s="98"/>
      <c r="G23" s="33"/>
      <c r="H23" s="99"/>
      <c r="I23" s="98"/>
      <c r="J23" s="97"/>
      <c r="K23" s="98"/>
      <c r="L23" s="48">
        <f aca="false">IF(G23="","",L22+IF(E23="pemasukan",G23,-G23))</f>
      </c>
    </row>
    <row r="24" customFormat="false" ht="21.75" hidden="false" customHeight="true" outlineLevel="0" collapsed="false">
      <c r="B24" s="100">
        <f aca="false">IF(C24="","",ROW()-6)</f>
      </c>
      <c r="C24" s="101"/>
      <c r="D24" s="102"/>
      <c r="E24" s="102"/>
      <c r="F24" s="103"/>
      <c r="G24" s="35"/>
      <c r="H24" s="104"/>
      <c r="I24" s="103"/>
      <c r="J24" s="102"/>
      <c r="K24" s="103"/>
      <c r="L24" s="50">
        <f aca="false">IF(G24="","",L23+IF(E24="pemasukan",G24,-G24))</f>
      </c>
    </row>
    <row r="25" customFormat="false" ht="21.75" hidden="false" customHeight="true" outlineLevel="0" collapsed="false">
      <c r="B25" s="43">
        <f aca="false">IF(C25="","",ROW()-6)</f>
      </c>
      <c r="C25" s="96"/>
      <c r="D25" s="97"/>
      <c r="E25" s="97"/>
      <c r="F25" s="98"/>
      <c r="G25" s="33"/>
      <c r="H25" s="99"/>
      <c r="I25" s="98"/>
      <c r="J25" s="97"/>
      <c r="K25" s="98"/>
      <c r="L25" s="48">
        <f aca="false">IF(G25="","",L24+IF(E25="pemasukan",G25,-G25))</f>
      </c>
    </row>
    <row r="26" customFormat="false" ht="21.75" hidden="false" customHeight="true" outlineLevel="0" collapsed="false">
      <c r="B26" s="100">
        <f aca="false">IF(C26="","",ROW()-6)</f>
      </c>
      <c r="C26" s="101"/>
      <c r="D26" s="102"/>
      <c r="E26" s="102"/>
      <c r="F26" s="103"/>
      <c r="G26" s="35"/>
      <c r="H26" s="104"/>
      <c r="I26" s="103"/>
      <c r="J26" s="102"/>
      <c r="K26" s="103"/>
      <c r="L26" s="50">
        <f aca="false">IF(G26="","",L25+IF(E26="pemasukan",G26,-G26))</f>
      </c>
    </row>
    <row r="27" customFormat="false" ht="21.75" hidden="false" customHeight="true" outlineLevel="0" collapsed="false">
      <c r="B27" s="43">
        <f aca="false">IF(C27="","",ROW()-6)</f>
      </c>
      <c r="C27" s="96"/>
      <c r="D27" s="97"/>
      <c r="E27" s="97"/>
      <c r="F27" s="98"/>
      <c r="G27" s="33"/>
      <c r="H27" s="99"/>
      <c r="I27" s="98"/>
      <c r="J27" s="97"/>
      <c r="K27" s="98"/>
      <c r="L27" s="48">
        <f aca="false">IF(G27="","",L26+IF(E27="pemasukan",G27,-G27))</f>
      </c>
    </row>
    <row r="28" customFormat="false" ht="21.75" hidden="false" customHeight="true" outlineLevel="0" collapsed="false">
      <c r="B28" s="100">
        <f aca="false">IF(C28="","",ROW()-6)</f>
      </c>
      <c r="C28" s="101"/>
      <c r="D28" s="102"/>
      <c r="E28" s="102"/>
      <c r="F28" s="103"/>
      <c r="G28" s="35"/>
      <c r="H28" s="104"/>
      <c r="I28" s="103"/>
      <c r="J28" s="102"/>
      <c r="K28" s="103"/>
      <c r="L28" s="50">
        <f aca="false">IF(G28="","",L27+IF(E28="pemasukan",G28,-G28))</f>
      </c>
    </row>
    <row r="29" customFormat="false" ht="21.75" hidden="false" customHeight="true" outlineLevel="0" collapsed="false">
      <c r="B29" s="43">
        <f aca="false">IF(C29="","",ROW()-6)</f>
      </c>
      <c r="C29" s="96"/>
      <c r="D29" s="97"/>
      <c r="E29" s="97"/>
      <c r="F29" s="98"/>
      <c r="G29" s="33"/>
      <c r="H29" s="99"/>
      <c r="I29" s="98"/>
      <c r="J29" s="97"/>
      <c r="K29" s="98"/>
      <c r="L29" s="48">
        <f aca="false">IF(G29="","",L28+IF(E29="pemasukan",G29,-G29))</f>
      </c>
    </row>
    <row r="30" customFormat="false" ht="21.75" hidden="false" customHeight="true" outlineLevel="0" collapsed="false">
      <c r="B30" s="100">
        <f aca="false">IF(C30="","",ROW()-6)</f>
      </c>
      <c r="C30" s="101"/>
      <c r="D30" s="102"/>
      <c r="E30" s="102"/>
      <c r="F30" s="103"/>
      <c r="G30" s="35"/>
      <c r="H30" s="104"/>
      <c r="I30" s="103"/>
      <c r="J30" s="102"/>
      <c r="K30" s="103"/>
      <c r="L30" s="50">
        <f aca="false">IF(G30="","",L29+IF(E30="pemasukan",G30,-G30))</f>
      </c>
    </row>
    <row r="31" customFormat="false" ht="21.75" hidden="false" customHeight="true" outlineLevel="0" collapsed="false">
      <c r="B31" s="43">
        <f aca="false">IF(C31="","",ROW()-6)</f>
      </c>
      <c r="C31" s="96"/>
      <c r="D31" s="97"/>
      <c r="E31" s="97"/>
      <c r="F31" s="98"/>
      <c r="G31" s="33"/>
      <c r="H31" s="99"/>
      <c r="I31" s="98"/>
      <c r="J31" s="97"/>
      <c r="K31" s="98"/>
      <c r="L31" s="48">
        <f aca="false">IF(G31="","",L30+IF(E31="pemasukan",G31,-G31))</f>
      </c>
    </row>
    <row r="32" customFormat="false" ht="21.75" hidden="false" customHeight="true" outlineLevel="0" collapsed="false">
      <c r="B32" s="100">
        <f aca="false">IF(C32="","",ROW()-6)</f>
      </c>
      <c r="C32" s="101"/>
      <c r="D32" s="102"/>
      <c r="E32" s="102"/>
      <c r="F32" s="103"/>
      <c r="G32" s="35"/>
      <c r="H32" s="104"/>
      <c r="I32" s="103"/>
      <c r="J32" s="102"/>
      <c r="K32" s="103"/>
      <c r="L32" s="50">
        <f aca="false">IF(G32="","",L31+IF(E32="pemasukan",G32,-G32))</f>
      </c>
    </row>
    <row r="33" customFormat="false" ht="21.75" hidden="false" customHeight="true" outlineLevel="0" collapsed="false">
      <c r="B33" s="43">
        <f aca="false">IF(C33="","",ROW()-6)</f>
      </c>
      <c r="C33" s="96"/>
      <c r="D33" s="97"/>
      <c r="E33" s="97"/>
      <c r="F33" s="98"/>
      <c r="G33" s="33"/>
      <c r="H33" s="99"/>
      <c r="I33" s="98"/>
      <c r="J33" s="97"/>
      <c r="K33" s="98"/>
      <c r="L33" s="48">
        <f aca="false">IF(G33="","",L32+IF(E33="pemasukan",G33,-G33))</f>
      </c>
    </row>
    <row r="34" customFormat="false" ht="21.75" hidden="false" customHeight="true" outlineLevel="0" collapsed="false">
      <c r="B34" s="100">
        <f aca="false">IF(C34="","",ROW()-6)</f>
      </c>
      <c r="C34" s="101"/>
      <c r="D34" s="102"/>
      <c r="E34" s="102"/>
      <c r="F34" s="103"/>
      <c r="G34" s="35"/>
      <c r="H34" s="104"/>
      <c r="I34" s="103"/>
      <c r="J34" s="102"/>
      <c r="K34" s="103"/>
      <c r="L34" s="50">
        <f aca="false">IF(G34="","",L33+IF(E34="pemasukan",G34,-G34))</f>
      </c>
    </row>
    <row r="35" customFormat="false" ht="21.75" hidden="false" customHeight="true" outlineLevel="0" collapsed="false">
      <c r="B35" s="43">
        <f aca="false">IF(C35="","",ROW()-6)</f>
      </c>
      <c r="C35" s="96"/>
      <c r="D35" s="97"/>
      <c r="E35" s="97"/>
      <c r="F35" s="98"/>
      <c r="G35" s="33"/>
      <c r="H35" s="99"/>
      <c r="I35" s="98"/>
      <c r="J35" s="97"/>
      <c r="K35" s="98"/>
      <c r="L35" s="48">
        <f aca="false">IF(G35="","",L34+IF(E35="pemasukan",G35,-G35))</f>
      </c>
    </row>
    <row r="36" customFormat="false" ht="21.75" hidden="false" customHeight="true" outlineLevel="0" collapsed="false">
      <c r="B36" s="100">
        <f aca="false">IF(C36="","",ROW()-6)</f>
      </c>
      <c r="C36" s="101"/>
      <c r="D36" s="102"/>
      <c r="E36" s="102"/>
      <c r="F36" s="103"/>
      <c r="G36" s="35"/>
      <c r="H36" s="104"/>
      <c r="I36" s="103"/>
      <c r="J36" s="102"/>
      <c r="K36" s="103"/>
      <c r="L36" s="50">
        <f aca="false">IF(G36="","",L35+IF(E36="pemasukan",G36,-G36))</f>
      </c>
    </row>
    <row r="37" customFormat="false" ht="21.75" hidden="false" customHeight="true" outlineLevel="0" collapsed="false">
      <c r="B37" s="43">
        <f aca="false">IF(C37="","",ROW()-6)</f>
      </c>
      <c r="C37" s="96"/>
      <c r="D37" s="97"/>
      <c r="E37" s="97"/>
      <c r="F37" s="98"/>
      <c r="G37" s="33"/>
      <c r="H37" s="99"/>
      <c r="I37" s="98"/>
      <c r="J37" s="97"/>
      <c r="K37" s="98"/>
      <c r="L37" s="48">
        <f aca="false">IF(G37="","",L36+IF(E37="pemasukan",G37,-G37))</f>
      </c>
    </row>
    <row r="38" customFormat="false" ht="21.75" hidden="false" customHeight="true" outlineLevel="0" collapsed="false">
      <c r="B38" s="100">
        <f aca="false">IF(C38="","",ROW()-6)</f>
      </c>
      <c r="C38" s="101"/>
      <c r="D38" s="102"/>
      <c r="E38" s="102"/>
      <c r="F38" s="103"/>
      <c r="G38" s="35"/>
      <c r="H38" s="104"/>
      <c r="I38" s="103"/>
      <c r="J38" s="102"/>
      <c r="K38" s="103"/>
      <c r="L38" s="50">
        <f aca="false">IF(G38="","",L37+IF(E38="pemasukan",G38,-G38))</f>
      </c>
    </row>
    <row r="39" customFormat="false" ht="21.75" hidden="false" customHeight="true" outlineLevel="0" collapsed="false">
      <c r="B39" s="43">
        <f aca="false">IF(C39="","",ROW()-6)</f>
      </c>
      <c r="C39" s="96"/>
      <c r="D39" s="97"/>
      <c r="E39" s="97"/>
      <c r="F39" s="98"/>
      <c r="G39" s="33"/>
      <c r="H39" s="99"/>
      <c r="I39" s="98"/>
      <c r="J39" s="97"/>
      <c r="K39" s="98"/>
      <c r="L39" s="48">
        <f aca="false">IF(G39="","",L38+IF(E39="pemasukan",G39,-G39))</f>
      </c>
    </row>
    <row r="40" customFormat="false" ht="21.75" hidden="false" customHeight="true" outlineLevel="0" collapsed="false">
      <c r="B40" s="100">
        <f aca="false">IF(C40="","",ROW()-6)</f>
      </c>
      <c r="C40" s="101"/>
      <c r="D40" s="102"/>
      <c r="E40" s="102"/>
      <c r="F40" s="103"/>
      <c r="G40" s="35"/>
      <c r="H40" s="104"/>
      <c r="I40" s="103"/>
      <c r="J40" s="102"/>
      <c r="K40" s="103"/>
      <c r="L40" s="50">
        <f aca="false">IF(G40="","",L39+IF(E40="pemasukan",G40,-G40))</f>
      </c>
    </row>
    <row r="41" customFormat="false" ht="21.75" hidden="false" customHeight="true" outlineLevel="0" collapsed="false">
      <c r="B41" s="43">
        <f aca="false">IF(C41="","",ROW()-6)</f>
      </c>
      <c r="C41" s="96"/>
      <c r="D41" s="97"/>
      <c r="E41" s="97"/>
      <c r="F41" s="98"/>
      <c r="G41" s="33"/>
      <c r="H41" s="99"/>
      <c r="I41" s="98"/>
      <c r="J41" s="97"/>
      <c r="K41" s="98"/>
      <c r="L41" s="48">
        <f aca="false">IF(G41="","",L40+IF(E41="pemasukan",G41,-G41))</f>
      </c>
    </row>
    <row r="42" customFormat="false" ht="21.75" hidden="false" customHeight="true" outlineLevel="0" collapsed="false">
      <c r="B42" s="100">
        <f aca="false">IF(C42="","",ROW()-6)</f>
      </c>
      <c r="C42" s="101"/>
      <c r="D42" s="102"/>
      <c r="E42" s="102"/>
      <c r="F42" s="103"/>
      <c r="G42" s="35"/>
      <c r="H42" s="104"/>
      <c r="I42" s="103"/>
      <c r="J42" s="102"/>
      <c r="K42" s="103"/>
      <c r="L42" s="50">
        <f aca="false">IF(G42="","",L41+IF(E42="pemasukan",G42,-G42))</f>
      </c>
    </row>
    <row r="43" customFormat="false" ht="21.75" hidden="false" customHeight="true" outlineLevel="0" collapsed="false">
      <c r="B43" s="43">
        <f aca="false">IF(C43="","",ROW()-6)</f>
      </c>
      <c r="C43" s="96"/>
      <c r="D43" s="97"/>
      <c r="E43" s="97"/>
      <c r="F43" s="98"/>
      <c r="G43" s="33"/>
      <c r="H43" s="99"/>
      <c r="I43" s="98"/>
      <c r="J43" s="97"/>
      <c r="K43" s="98"/>
      <c r="L43" s="48">
        <f aca="false">IF(G43="","",L42+IF(E43="pemasukan",G43,-G43))</f>
      </c>
    </row>
    <row r="44" customFormat="false" ht="21.75" hidden="false" customHeight="true" outlineLevel="0" collapsed="false">
      <c r="B44" s="100">
        <f aca="false">IF(C44="","",ROW()-6)</f>
      </c>
      <c r="C44" s="101"/>
      <c r="D44" s="102"/>
      <c r="E44" s="102"/>
      <c r="F44" s="103"/>
      <c r="G44" s="35"/>
      <c r="H44" s="104"/>
      <c r="I44" s="103"/>
      <c r="J44" s="102"/>
      <c r="K44" s="103"/>
      <c r="L44" s="50">
        <f aca="false">IF(G44="","",L43+IF(E44="pemasukan",G44,-G44))</f>
      </c>
    </row>
    <row r="45" customFormat="false" ht="21.75" hidden="false" customHeight="true" outlineLevel="0" collapsed="false">
      <c r="B45" s="43">
        <f aca="false">IF(C45="","",ROW()-6)</f>
      </c>
      <c r="C45" s="96"/>
      <c r="D45" s="97"/>
      <c r="E45" s="97"/>
      <c r="F45" s="98"/>
      <c r="G45" s="33"/>
      <c r="H45" s="99"/>
      <c r="I45" s="98"/>
      <c r="J45" s="97"/>
      <c r="K45" s="98"/>
      <c r="L45" s="48">
        <f aca="false">IF(G45="","",L44+IF(E45="pemasukan",G45,-G45))</f>
      </c>
    </row>
    <row r="46" customFormat="false" ht="21.75" hidden="false" customHeight="true" outlineLevel="0" collapsed="false">
      <c r="B46" s="100">
        <f aca="false">IF(C46="","",ROW()-6)</f>
      </c>
      <c r="C46" s="101"/>
      <c r="D46" s="102"/>
      <c r="E46" s="102"/>
      <c r="F46" s="103"/>
      <c r="G46" s="35"/>
      <c r="H46" s="104"/>
      <c r="I46" s="103"/>
      <c r="J46" s="102"/>
      <c r="K46" s="103"/>
      <c r="L46" s="50">
        <f aca="false">IF(G46="","",L45+IF(E46="pemasukan",G46,-G46))</f>
      </c>
    </row>
    <row r="47" customFormat="false" ht="21.75" hidden="false" customHeight="true" outlineLevel="0" collapsed="false">
      <c r="B47" s="43">
        <f aca="false">IF(C47="","",ROW()-6)</f>
      </c>
      <c r="C47" s="96"/>
      <c r="D47" s="97"/>
      <c r="E47" s="97"/>
      <c r="F47" s="98"/>
      <c r="G47" s="33"/>
      <c r="H47" s="99"/>
      <c r="I47" s="98"/>
      <c r="J47" s="97"/>
      <c r="K47" s="98"/>
      <c r="L47" s="48">
        <f aca="false">IF(G47="","",L46+IF(E47="pemasukan",G47,-G47))</f>
      </c>
    </row>
    <row r="48" customFormat="false" ht="21.75" hidden="false" customHeight="true" outlineLevel="0" collapsed="false">
      <c r="B48" s="100">
        <f aca="false">IF(C48="","",ROW()-6)</f>
      </c>
      <c r="C48" s="101"/>
      <c r="D48" s="102"/>
      <c r="E48" s="102"/>
      <c r="F48" s="103"/>
      <c r="G48" s="35"/>
      <c r="H48" s="104"/>
      <c r="I48" s="103"/>
      <c r="J48" s="102"/>
      <c r="K48" s="103"/>
      <c r="L48" s="50">
        <f aca="false">IF(G48="","",L47+IF(E48="pemasukan",G48,-G48))</f>
      </c>
    </row>
    <row r="49" customFormat="false" ht="21.75" hidden="false" customHeight="true" outlineLevel="0" collapsed="false">
      <c r="B49" s="43">
        <f aca="false">IF(C49="","",ROW()-6)</f>
      </c>
      <c r="C49" s="96"/>
      <c r="D49" s="97"/>
      <c r="E49" s="97"/>
      <c r="F49" s="98"/>
      <c r="G49" s="33"/>
      <c r="H49" s="99"/>
      <c r="I49" s="98"/>
      <c r="J49" s="97"/>
      <c r="K49" s="98"/>
      <c r="L49" s="48">
        <f aca="false">IF(G49="","",L48+IF(E49="pemasukan",G49,-G49))</f>
      </c>
    </row>
    <row r="50" customFormat="false" ht="21.75" hidden="false" customHeight="true" outlineLevel="0" collapsed="false">
      <c r="B50" s="100">
        <f aca="false">IF(C50="","",ROW()-6)</f>
      </c>
      <c r="C50" s="101"/>
      <c r="D50" s="102"/>
      <c r="E50" s="102"/>
      <c r="F50" s="103"/>
      <c r="G50" s="35"/>
      <c r="H50" s="104"/>
      <c r="I50" s="103"/>
      <c r="J50" s="102"/>
      <c r="K50" s="103"/>
      <c r="L50" s="50">
        <f aca="false">IF(G50="","",L49+IF(E50="pemasukan",G50,-G50))</f>
      </c>
    </row>
    <row r="51" customFormat="false" ht="21.75" hidden="false" customHeight="true" outlineLevel="0" collapsed="false">
      <c r="B51" s="43">
        <f aca="false">IF(C51="","",ROW()-6)</f>
      </c>
      <c r="C51" s="96"/>
      <c r="D51" s="97"/>
      <c r="E51" s="97"/>
      <c r="F51" s="98"/>
      <c r="G51" s="33"/>
      <c r="H51" s="99"/>
      <c r="I51" s="98"/>
      <c r="J51" s="97"/>
      <c r="K51" s="98"/>
      <c r="L51" s="48">
        <f aca="false">IF(G51="","",L50+IF(E51="pemasukan",G51,-G51))</f>
      </c>
    </row>
    <row r="52" customFormat="false" ht="21.75" hidden="false" customHeight="true" outlineLevel="0" collapsed="false">
      <c r="B52" s="100">
        <f aca="false">IF(C52="","",ROW()-6)</f>
      </c>
      <c r="C52" s="101"/>
      <c r="D52" s="102"/>
      <c r="E52" s="102"/>
      <c r="F52" s="103"/>
      <c r="G52" s="35"/>
      <c r="H52" s="104"/>
      <c r="I52" s="103"/>
      <c r="J52" s="102"/>
      <c r="K52" s="103"/>
      <c r="L52" s="50">
        <f aca="false">IF(G52="","",L51+IF(E52="pemasukan",G52,-G52))</f>
      </c>
    </row>
    <row r="53" customFormat="false" ht="21.75" hidden="false" customHeight="true" outlineLevel="0" collapsed="false">
      <c r="B53" s="43">
        <f aca="false">IF(C53="","",ROW()-6)</f>
      </c>
      <c r="C53" s="96"/>
      <c r="D53" s="97"/>
      <c r="E53" s="97"/>
      <c r="F53" s="98"/>
      <c r="G53" s="33"/>
      <c r="H53" s="99"/>
      <c r="I53" s="98"/>
      <c r="J53" s="97"/>
      <c r="K53" s="98"/>
      <c r="L53" s="48">
        <f aca="false">IF(G53="","",L52+IF(E53="pemasukan",G53,-G53))</f>
      </c>
    </row>
    <row r="54" customFormat="false" ht="21.75" hidden="false" customHeight="true" outlineLevel="0" collapsed="false">
      <c r="B54" s="100">
        <f aca="false">IF(C54="","",ROW()-6)</f>
      </c>
      <c r="C54" s="101"/>
      <c r="D54" s="102"/>
      <c r="E54" s="102"/>
      <c r="F54" s="103"/>
      <c r="G54" s="35"/>
      <c r="H54" s="104"/>
      <c r="I54" s="103"/>
      <c r="J54" s="102"/>
      <c r="K54" s="103"/>
      <c r="L54" s="50">
        <f aca="false">IF(G54="","",L53+IF(E54="pemasukan",G54,-G54))</f>
      </c>
    </row>
    <row r="55" customFormat="false" ht="21.75" hidden="false" customHeight="true" outlineLevel="0" collapsed="false">
      <c r="B55" s="43">
        <f aca="false">IF(C55="","",ROW()-6)</f>
      </c>
      <c r="C55" s="96"/>
      <c r="D55" s="97"/>
      <c r="E55" s="97"/>
      <c r="F55" s="98"/>
      <c r="G55" s="33"/>
      <c r="H55" s="99"/>
      <c r="I55" s="98"/>
      <c r="J55" s="97"/>
      <c r="K55" s="98"/>
      <c r="L55" s="48">
        <f aca="false">IF(G55="","",L54+IF(E55="pemasukan",G55,-G55))</f>
      </c>
    </row>
    <row r="56" customFormat="false" ht="21.75" hidden="false" customHeight="true" outlineLevel="0" collapsed="false">
      <c r="B56" s="100">
        <f aca="false">IF(C56="","",ROW()-6)</f>
      </c>
      <c r="C56" s="101"/>
      <c r="D56" s="102"/>
      <c r="E56" s="102"/>
      <c r="F56" s="103"/>
      <c r="G56" s="35"/>
      <c r="H56" s="104"/>
      <c r="I56" s="103"/>
      <c r="J56" s="102"/>
      <c r="K56" s="103"/>
      <c r="L56" s="50">
        <f aca="false">IF(G56="","",L55+IF(E56="pemasukan",G56,-G56))</f>
      </c>
    </row>
    <row r="57" customFormat="false" ht="21.75" hidden="false" customHeight="true" outlineLevel="0" collapsed="false">
      <c r="B57" s="43">
        <f aca="false">IF(C57="","",ROW()-6)</f>
      </c>
      <c r="C57" s="96"/>
      <c r="D57" s="97"/>
      <c r="E57" s="97"/>
      <c r="F57" s="98"/>
      <c r="G57" s="33"/>
      <c r="H57" s="99"/>
      <c r="I57" s="98"/>
      <c r="J57" s="97"/>
      <c r="K57" s="98"/>
      <c r="L57" s="48">
        <f aca="false">IF(G57="","",L56+IF(E57="pemasukan",G57,-G57))</f>
      </c>
    </row>
    <row r="58" customFormat="false" ht="21.75" hidden="false" customHeight="true" outlineLevel="0" collapsed="false">
      <c r="B58" s="100">
        <f aca="false">IF(C58="","",ROW()-6)</f>
      </c>
      <c r="C58" s="101"/>
      <c r="D58" s="102"/>
      <c r="E58" s="102"/>
      <c r="F58" s="103"/>
      <c r="G58" s="35"/>
      <c r="H58" s="104"/>
      <c r="I58" s="103"/>
      <c r="J58" s="102"/>
      <c r="K58" s="103"/>
      <c r="L58" s="50">
        <f aca="false">IF(G58="","",L57+IF(E58="pemasukan",G58,-G58))</f>
      </c>
    </row>
    <row r="59" customFormat="false" ht="21.75" hidden="false" customHeight="true" outlineLevel="0" collapsed="false">
      <c r="B59" s="43">
        <f aca="false">IF(C59="","",ROW()-6)</f>
      </c>
      <c r="C59" s="96"/>
      <c r="D59" s="97"/>
      <c r="E59" s="97"/>
      <c r="F59" s="98"/>
      <c r="G59" s="33"/>
      <c r="H59" s="99"/>
      <c r="I59" s="98"/>
      <c r="J59" s="97"/>
      <c r="K59" s="98"/>
      <c r="L59" s="48">
        <f aca="false">IF(G59="","",L58+IF(E59="pemasukan",G59,-G59))</f>
      </c>
    </row>
    <row r="60" customFormat="false" ht="21.75" hidden="false" customHeight="true" outlineLevel="0" collapsed="false">
      <c r="B60" s="100">
        <f aca="false">IF(C60="","",ROW()-6)</f>
      </c>
      <c r="C60" s="101"/>
      <c r="D60" s="102"/>
      <c r="E60" s="102"/>
      <c r="F60" s="103"/>
      <c r="G60" s="35"/>
      <c r="H60" s="104"/>
      <c r="I60" s="103"/>
      <c r="J60" s="102"/>
      <c r="K60" s="103"/>
      <c r="L60" s="50">
        <f aca="false">IF(G60="","",L59+IF(E60="pemasukan",G60,-G60))</f>
      </c>
    </row>
    <row r="61" customFormat="false" ht="21.75" hidden="false" customHeight="true" outlineLevel="0" collapsed="false">
      <c r="B61" s="43">
        <f aca="false">IF(C61="","",ROW()-6)</f>
      </c>
      <c r="C61" s="96"/>
      <c r="D61" s="97"/>
      <c r="E61" s="97"/>
      <c r="F61" s="98"/>
      <c r="G61" s="33"/>
      <c r="H61" s="99"/>
      <c r="I61" s="98"/>
      <c r="J61" s="97"/>
      <c r="K61" s="98"/>
      <c r="L61" s="48">
        <f aca="false">IF(G61="","",L60+IF(E61="pemasukan",G61,-G61))</f>
      </c>
    </row>
    <row r="62" customFormat="false" ht="21.75" hidden="false" customHeight="true" outlineLevel="0" collapsed="false">
      <c r="B62" s="100">
        <f aca="false">IF(C62="","",ROW()-6)</f>
      </c>
      <c r="C62" s="101"/>
      <c r="D62" s="102"/>
      <c r="E62" s="102"/>
      <c r="F62" s="103"/>
      <c r="G62" s="35"/>
      <c r="H62" s="104"/>
      <c r="I62" s="103"/>
      <c r="J62" s="102"/>
      <c r="K62" s="103"/>
      <c r="L62" s="50">
        <f aca="false">IF(G62="","",L61+IF(E62="pemasukan",G62,-G62))</f>
      </c>
    </row>
    <row r="63" customFormat="false" ht="21.75" hidden="false" customHeight="true" outlineLevel="0" collapsed="false">
      <c r="B63" s="43">
        <f aca="false">IF(C63="","",ROW()-6)</f>
      </c>
      <c r="C63" s="96"/>
      <c r="D63" s="97"/>
      <c r="E63" s="97"/>
      <c r="F63" s="98"/>
      <c r="G63" s="33"/>
      <c r="H63" s="99"/>
      <c r="I63" s="98"/>
      <c r="J63" s="97"/>
      <c r="K63" s="98"/>
      <c r="L63" s="48">
        <f aca="false">IF(G63="","",L62+IF(E63="pemasukan",G63,-G63))</f>
      </c>
    </row>
    <row r="64" customFormat="false" ht="21.75" hidden="false" customHeight="true" outlineLevel="0" collapsed="false">
      <c r="B64" s="100">
        <f aca="false">IF(C64="","",ROW()-6)</f>
      </c>
      <c r="C64" s="101"/>
      <c r="D64" s="102"/>
      <c r="E64" s="102"/>
      <c r="F64" s="103"/>
      <c r="G64" s="35"/>
      <c r="H64" s="104"/>
      <c r="I64" s="103"/>
      <c r="J64" s="102"/>
      <c r="K64" s="103"/>
      <c r="L64" s="50">
        <f aca="false">IF(G64="","",L63+IF(E64="pemasukan",G64,-G64))</f>
      </c>
    </row>
    <row r="65" customFormat="false" ht="21.75" hidden="false" customHeight="true" outlineLevel="0" collapsed="false">
      <c r="B65" s="43">
        <f aca="false">IF(C65="","",ROW()-6)</f>
      </c>
      <c r="C65" s="96"/>
      <c r="D65" s="97"/>
      <c r="E65" s="97"/>
      <c r="F65" s="98"/>
      <c r="G65" s="33"/>
      <c r="H65" s="99"/>
      <c r="I65" s="98"/>
      <c r="J65" s="97"/>
      <c r="K65" s="98"/>
      <c r="L65" s="48">
        <f aca="false">IF(G65="","",L64+IF(E65="pemasukan",G65,-G65))</f>
      </c>
    </row>
    <row r="66" customFormat="false" ht="21.75" hidden="false" customHeight="true" outlineLevel="0" collapsed="false">
      <c r="B66" s="100">
        <f aca="false">IF(C66="","",ROW()-6)</f>
      </c>
      <c r="C66" s="101"/>
      <c r="D66" s="102"/>
      <c r="E66" s="102"/>
      <c r="F66" s="103"/>
      <c r="G66" s="35"/>
      <c r="H66" s="104"/>
      <c r="I66" s="103"/>
      <c r="J66" s="102"/>
      <c r="K66" s="103"/>
      <c r="L66" s="50">
        <f aca="false">IF(G66="","",L65+IF(E66="pemasukan",G66,-G66))</f>
      </c>
    </row>
    <row r="67" customFormat="false" ht="21.75" hidden="false" customHeight="true" outlineLevel="0" collapsed="false">
      <c r="B67" s="43">
        <f aca="false">IF(C67="","",ROW()-6)</f>
      </c>
      <c r="C67" s="96"/>
      <c r="D67" s="97"/>
      <c r="E67" s="97"/>
      <c r="F67" s="98"/>
      <c r="G67" s="33"/>
      <c r="H67" s="99"/>
      <c r="I67" s="98"/>
      <c r="J67" s="97"/>
      <c r="K67" s="98"/>
      <c r="L67" s="48">
        <f aca="false">IF(G67="","",L66+IF(E67="pemasukan",G67,-G67))</f>
      </c>
    </row>
    <row r="68" customFormat="false" ht="21.75" hidden="false" customHeight="true" outlineLevel="0" collapsed="false">
      <c r="B68" s="100">
        <f aca="false">IF(C68="","",ROW()-6)</f>
      </c>
      <c r="C68" s="101"/>
      <c r="D68" s="102"/>
      <c r="E68" s="102"/>
      <c r="F68" s="103"/>
      <c r="G68" s="35"/>
      <c r="H68" s="104"/>
      <c r="I68" s="103"/>
      <c r="J68" s="102"/>
      <c r="K68" s="103"/>
      <c r="L68" s="50">
        <f aca="false">IF(G68="","",L67+IF(E68="pemasukan",G68,-G68))</f>
      </c>
    </row>
    <row r="69" customFormat="false" ht="21.75" hidden="false" customHeight="true" outlineLevel="0" collapsed="false">
      <c r="B69" s="43">
        <f aca="false">IF(C69="","",ROW()-6)</f>
      </c>
      <c r="C69" s="96"/>
      <c r="D69" s="97"/>
      <c r="E69" s="97"/>
      <c r="F69" s="98"/>
      <c r="G69" s="33"/>
      <c r="H69" s="99"/>
      <c r="I69" s="98"/>
      <c r="J69" s="97"/>
      <c r="K69" s="98"/>
      <c r="L69" s="48">
        <f aca="false">IF(G69="","",L68+IF(E69="pemasukan",G69,-G69))</f>
      </c>
    </row>
    <row r="70" customFormat="false" ht="21.75" hidden="false" customHeight="true" outlineLevel="0" collapsed="false">
      <c r="B70" s="100">
        <f aca="false">IF(C70="","",ROW()-6)</f>
      </c>
      <c r="C70" s="101"/>
      <c r="D70" s="102"/>
      <c r="E70" s="102"/>
      <c r="F70" s="103"/>
      <c r="G70" s="35"/>
      <c r="H70" s="104"/>
      <c r="I70" s="103"/>
      <c r="J70" s="102"/>
      <c r="K70" s="103"/>
      <c r="L70" s="50">
        <f aca="false">IF(G70="","",L69+IF(E70="pemasukan",G70,-G70))</f>
      </c>
    </row>
    <row r="71" customFormat="false" ht="21.75" hidden="false" customHeight="true" outlineLevel="0" collapsed="false">
      <c r="B71" s="43">
        <f aca="false">IF(C71="","",ROW()-6)</f>
      </c>
      <c r="C71" s="96"/>
      <c r="D71" s="97"/>
      <c r="E71" s="97"/>
      <c r="F71" s="98"/>
      <c r="G71" s="33"/>
      <c r="H71" s="99"/>
      <c r="I71" s="98"/>
      <c r="J71" s="97"/>
      <c r="K71" s="98"/>
      <c r="L71" s="48">
        <f aca="false">IF(G71="","",L70+IF(E71="pemasukan",G71,-G71))</f>
      </c>
    </row>
    <row r="72" customFormat="false" ht="21.75" hidden="false" customHeight="true" outlineLevel="0" collapsed="false">
      <c r="B72" s="100">
        <f aca="false">IF(C72="","",ROW()-6)</f>
      </c>
      <c r="C72" s="101"/>
      <c r="D72" s="102"/>
      <c r="E72" s="102"/>
      <c r="F72" s="103"/>
      <c r="G72" s="35"/>
      <c r="H72" s="104"/>
      <c r="I72" s="103"/>
      <c r="J72" s="102"/>
      <c r="K72" s="103"/>
      <c r="L72" s="50">
        <f aca="false">IF(G72="","",L71+IF(E72="pemasukan",G72,-G72))</f>
      </c>
    </row>
    <row r="73" customFormat="false" ht="21.75" hidden="false" customHeight="true" outlineLevel="0" collapsed="false">
      <c r="B73" s="43">
        <f aca="false">IF(C73="","",ROW()-6)</f>
      </c>
      <c r="C73" s="96"/>
      <c r="D73" s="97"/>
      <c r="E73" s="97"/>
      <c r="F73" s="98"/>
      <c r="G73" s="33"/>
      <c r="H73" s="99"/>
      <c r="I73" s="98"/>
      <c r="J73" s="97"/>
      <c r="K73" s="98"/>
      <c r="L73" s="48">
        <f aca="false">IF(G73="","",L72+IF(E73="pemasukan",G73,-G73))</f>
      </c>
    </row>
    <row r="74" customFormat="false" ht="21.75" hidden="false" customHeight="true" outlineLevel="0" collapsed="false">
      <c r="B74" s="100">
        <f aca="false">IF(C74="","",ROW()-6)</f>
      </c>
      <c r="C74" s="101"/>
      <c r="D74" s="102"/>
      <c r="E74" s="102"/>
      <c r="F74" s="103"/>
      <c r="G74" s="35"/>
      <c r="H74" s="104"/>
      <c r="I74" s="103"/>
      <c r="J74" s="102"/>
      <c r="K74" s="103"/>
      <c r="L74" s="50">
        <f aca="false">IF(G74="","",L73+IF(E74="pemasukan",G74,-G74))</f>
      </c>
    </row>
    <row r="75" customFormat="false" ht="21.75" hidden="false" customHeight="true" outlineLevel="0" collapsed="false">
      <c r="B75" s="43">
        <f aca="false">IF(C75="","",ROW()-6)</f>
      </c>
      <c r="C75" s="96"/>
      <c r="D75" s="97"/>
      <c r="E75" s="97"/>
      <c r="F75" s="98"/>
      <c r="G75" s="33"/>
      <c r="H75" s="99"/>
      <c r="I75" s="98"/>
      <c r="J75" s="97"/>
      <c r="K75" s="98"/>
      <c r="L75" s="48">
        <f aca="false">IF(G75="","",L74+IF(E75="pemasukan",G75,-G75))</f>
      </c>
    </row>
    <row r="76" customFormat="false" ht="21.75" hidden="false" customHeight="true" outlineLevel="0" collapsed="false">
      <c r="B76" s="100">
        <f aca="false">IF(C76="","",ROW()-6)</f>
      </c>
      <c r="C76" s="101"/>
      <c r="D76" s="102"/>
      <c r="E76" s="102"/>
      <c r="F76" s="103"/>
      <c r="G76" s="35"/>
      <c r="H76" s="104"/>
      <c r="I76" s="103"/>
      <c r="J76" s="102"/>
      <c r="K76" s="103"/>
      <c r="L76" s="50">
        <f aca="false">IF(G76="","",L75+IF(E76="pemasukan",G76,-G76))</f>
      </c>
    </row>
    <row r="77" customFormat="false" ht="21.75" hidden="false" customHeight="true" outlineLevel="0" collapsed="false">
      <c r="B77" s="43">
        <f aca="false">IF(C77="","",ROW()-6)</f>
      </c>
      <c r="C77" s="96"/>
      <c r="D77" s="97"/>
      <c r="E77" s="97"/>
      <c r="F77" s="98"/>
      <c r="G77" s="33"/>
      <c r="H77" s="99"/>
      <c r="I77" s="98"/>
      <c r="J77" s="97"/>
      <c r="K77" s="98"/>
      <c r="L77" s="48">
        <f aca="false">IF(G77="","",L76+IF(E77="pemasukan",G77,-G77))</f>
      </c>
    </row>
    <row r="78" customFormat="false" ht="21.75" hidden="false" customHeight="true" outlineLevel="0" collapsed="false">
      <c r="B78" s="100">
        <f aca="false">IF(C78="","",ROW()-6)</f>
      </c>
      <c r="C78" s="101"/>
      <c r="D78" s="102"/>
      <c r="E78" s="102"/>
      <c r="F78" s="103"/>
      <c r="G78" s="35"/>
      <c r="H78" s="104"/>
      <c r="I78" s="103"/>
      <c r="J78" s="102"/>
      <c r="K78" s="103"/>
      <c r="L78" s="50">
        <f aca="false">IF(G78="","",L77+IF(E78="pemasukan",G78,-G78))</f>
      </c>
    </row>
    <row r="79" customFormat="false" ht="21.75" hidden="false" customHeight="true" outlineLevel="0" collapsed="false">
      <c r="B79" s="43">
        <f aca="false">IF(C79="","",ROW()-6)</f>
      </c>
      <c r="C79" s="96"/>
      <c r="D79" s="97"/>
      <c r="E79" s="97"/>
      <c r="F79" s="98"/>
      <c r="G79" s="33"/>
      <c r="H79" s="99"/>
      <c r="I79" s="98"/>
      <c r="J79" s="97"/>
      <c r="K79" s="98"/>
      <c r="L79" s="48">
        <f aca="false">IF(G79="","",L78+IF(E79="pemasukan",G79,-G79))</f>
      </c>
    </row>
    <row r="80" customFormat="false" ht="21.75" hidden="false" customHeight="true" outlineLevel="0" collapsed="false">
      <c r="B80" s="100">
        <f aca="false">IF(C80="","",ROW()-6)</f>
      </c>
      <c r="C80" s="101"/>
      <c r="D80" s="102"/>
      <c r="E80" s="102"/>
      <c r="F80" s="103"/>
      <c r="G80" s="35"/>
      <c r="H80" s="104"/>
      <c r="I80" s="103"/>
      <c r="J80" s="102"/>
      <c r="K80" s="103"/>
      <c r="L80" s="50">
        <f aca="false">IF(G80="","",L79+IF(E80="pemasukan",G80,-G80))</f>
      </c>
    </row>
    <row r="81" customFormat="false" ht="21.75" hidden="false" customHeight="true" outlineLevel="0" collapsed="false">
      <c r="B81" s="43">
        <f aca="false">IF(C81="","",ROW()-6)</f>
      </c>
      <c r="C81" s="96"/>
      <c r="D81" s="97"/>
      <c r="E81" s="97"/>
      <c r="F81" s="98"/>
      <c r="G81" s="33"/>
      <c r="H81" s="99"/>
      <c r="I81" s="98"/>
      <c r="J81" s="97"/>
      <c r="K81" s="98"/>
      <c r="L81" s="48">
        <f aca="false">IF(G81="","",L80+IF(E81="pemasukan",G81,-G81))</f>
      </c>
    </row>
    <row r="82" customFormat="false" ht="21.75" hidden="false" customHeight="true" outlineLevel="0" collapsed="false">
      <c r="B82" s="100">
        <f aca="false">IF(C82="","",ROW()-6)</f>
      </c>
      <c r="C82" s="101"/>
      <c r="D82" s="102"/>
      <c r="E82" s="102"/>
      <c r="F82" s="103"/>
      <c r="G82" s="35"/>
      <c r="H82" s="104"/>
      <c r="I82" s="103"/>
      <c r="J82" s="102"/>
      <c r="K82" s="103"/>
      <c r="L82" s="50">
        <f aca="false">IF(G82="","",L81+IF(E82="pemasukan",G82,-G82))</f>
      </c>
    </row>
    <row r="83" customFormat="false" ht="21.75" hidden="false" customHeight="true" outlineLevel="0" collapsed="false">
      <c r="B83" s="43">
        <f aca="false">IF(C83="","",ROW()-6)</f>
      </c>
      <c r="C83" s="96"/>
      <c r="D83" s="97"/>
      <c r="E83" s="97"/>
      <c r="F83" s="98"/>
      <c r="G83" s="33"/>
      <c r="H83" s="99"/>
      <c r="I83" s="98"/>
      <c r="J83" s="97"/>
      <c r="K83" s="98"/>
      <c r="L83" s="48">
        <f aca="false">IF(G83="","",L82+IF(E83="pemasukan",G83,-G83))</f>
      </c>
    </row>
    <row r="84" customFormat="false" ht="21.75" hidden="false" customHeight="true" outlineLevel="0" collapsed="false">
      <c r="B84" s="100">
        <f aca="false">IF(C84="","",ROW()-6)</f>
      </c>
      <c r="C84" s="101"/>
      <c r="D84" s="102"/>
      <c r="E84" s="102"/>
      <c r="F84" s="103"/>
      <c r="G84" s="35"/>
      <c r="H84" s="104"/>
      <c r="I84" s="103"/>
      <c r="J84" s="102"/>
      <c r="K84" s="103"/>
      <c r="L84" s="50">
        <f aca="false">IF(G84="","",L83+IF(E84="pemasukan",G84,-G84))</f>
      </c>
    </row>
    <row r="85" customFormat="false" ht="21.75" hidden="false" customHeight="true" outlineLevel="0" collapsed="false">
      <c r="B85" s="43">
        <f aca="false">IF(C85="","",ROW()-6)</f>
      </c>
      <c r="C85" s="96"/>
      <c r="D85" s="97"/>
      <c r="E85" s="97"/>
      <c r="F85" s="98"/>
      <c r="G85" s="33"/>
      <c r="H85" s="99"/>
      <c r="I85" s="98"/>
      <c r="J85" s="97"/>
      <c r="K85" s="98"/>
      <c r="L85" s="48">
        <f aca="false">IF(G85="","",L84+IF(E85="pemasukan",G85,-G85))</f>
      </c>
    </row>
    <row r="86" customFormat="false" ht="21.75" hidden="false" customHeight="true" outlineLevel="0" collapsed="false">
      <c r="B86" s="100">
        <f aca="false">IF(C86="","",ROW()-6)</f>
      </c>
      <c r="C86" s="101"/>
      <c r="D86" s="102"/>
      <c r="E86" s="102"/>
      <c r="F86" s="103"/>
      <c r="G86" s="35"/>
      <c r="H86" s="104"/>
      <c r="I86" s="103"/>
      <c r="J86" s="102"/>
      <c r="K86" s="103"/>
      <c r="L86" s="50">
        <f aca="false">IF(G86="","",L85+IF(E86="pemasukan",G86,-G86))</f>
      </c>
    </row>
    <row r="87" customFormat="false" ht="21.75" hidden="false" customHeight="true" outlineLevel="0" collapsed="false">
      <c r="B87" s="43">
        <f aca="false">IF(C87="","",ROW()-6)</f>
      </c>
      <c r="C87" s="96"/>
      <c r="D87" s="97"/>
      <c r="E87" s="97"/>
      <c r="F87" s="98"/>
      <c r="G87" s="33"/>
      <c r="H87" s="99"/>
      <c r="I87" s="98"/>
      <c r="J87" s="97"/>
      <c r="K87" s="98"/>
      <c r="L87" s="48">
        <f aca="false">IF(G87="","",L86+IF(E87="pemasukan",G87,-G87))</f>
      </c>
    </row>
    <row r="88" customFormat="false" ht="21.75" hidden="false" customHeight="true" outlineLevel="0" collapsed="false">
      <c r="B88" s="100">
        <f aca="false">IF(C88="","",ROW()-6)</f>
      </c>
      <c r="C88" s="101"/>
      <c r="D88" s="102"/>
      <c r="E88" s="102"/>
      <c r="F88" s="103"/>
      <c r="G88" s="35"/>
      <c r="H88" s="104"/>
      <c r="I88" s="103"/>
      <c r="J88" s="102"/>
      <c r="K88" s="103"/>
      <c r="L88" s="50">
        <f aca="false">IF(G88="","",L87+IF(E88="pemasukan",G88,-G88))</f>
      </c>
    </row>
    <row r="89" customFormat="false" ht="21.75" hidden="false" customHeight="true" outlineLevel="0" collapsed="false">
      <c r="B89" s="43">
        <f aca="false">IF(C89="","",ROW()-6)</f>
      </c>
      <c r="C89" s="96"/>
      <c r="D89" s="97"/>
      <c r="E89" s="97"/>
      <c r="F89" s="98"/>
      <c r="G89" s="33"/>
      <c r="H89" s="99"/>
      <c r="I89" s="98"/>
      <c r="J89" s="97"/>
      <c r="K89" s="98"/>
      <c r="L89" s="48">
        <f aca="false">IF(G89="","",L88+IF(E89="pemasukan",G89,-G89))</f>
      </c>
    </row>
    <row r="90" customFormat="false" ht="21.75" hidden="false" customHeight="true" outlineLevel="0" collapsed="false">
      <c r="B90" s="100">
        <f aca="false">IF(C90="","",ROW()-6)</f>
      </c>
      <c r="C90" s="101"/>
      <c r="D90" s="102"/>
      <c r="E90" s="102"/>
      <c r="F90" s="103"/>
      <c r="G90" s="35"/>
      <c r="H90" s="104"/>
      <c r="I90" s="103"/>
      <c r="J90" s="102"/>
      <c r="K90" s="103"/>
      <c r="L90" s="50">
        <f aca="false">IF(G90="","",L89+IF(E90="pemasukan",G90,-G90))</f>
      </c>
    </row>
    <row r="91" customFormat="false" ht="21.75" hidden="false" customHeight="true" outlineLevel="0" collapsed="false">
      <c r="B91" s="43">
        <f aca="false">IF(C91="","",ROW()-6)</f>
      </c>
      <c r="C91" s="96"/>
      <c r="D91" s="97"/>
      <c r="E91" s="97"/>
      <c r="F91" s="98"/>
      <c r="G91" s="33"/>
      <c r="H91" s="99"/>
      <c r="I91" s="98"/>
      <c r="J91" s="97"/>
      <c r="K91" s="98"/>
      <c r="L91" s="48">
        <f aca="false">IF(G91="","",L90+IF(E91="pemasukan",G91,-G91))</f>
      </c>
    </row>
    <row r="92" customFormat="false" ht="21.75" hidden="false" customHeight="true" outlineLevel="0" collapsed="false">
      <c r="B92" s="100">
        <f aca="false">IF(C92="","",ROW()-6)</f>
      </c>
      <c r="C92" s="101"/>
      <c r="D92" s="102"/>
      <c r="E92" s="102"/>
      <c r="F92" s="103"/>
      <c r="G92" s="35"/>
      <c r="H92" s="104"/>
      <c r="I92" s="103"/>
      <c r="J92" s="102"/>
      <c r="K92" s="103"/>
      <c r="L92" s="50">
        <f aca="false">IF(G92="","",L91+IF(E92="pemasukan",G92,-G92))</f>
      </c>
    </row>
    <row r="93" customFormat="false" ht="21.75" hidden="false" customHeight="true" outlineLevel="0" collapsed="false">
      <c r="B93" s="43">
        <f aca="false">IF(C93="","",ROW()-6)</f>
      </c>
      <c r="C93" s="96"/>
      <c r="D93" s="97"/>
      <c r="E93" s="97"/>
      <c r="F93" s="98"/>
      <c r="G93" s="33"/>
      <c r="H93" s="99"/>
      <c r="I93" s="98"/>
      <c r="J93" s="97"/>
      <c r="K93" s="98"/>
      <c r="L93" s="48">
        <f aca="false">IF(G93="","",L92+IF(E93="pemasukan",G93,-G93))</f>
      </c>
    </row>
    <row r="94" customFormat="false" ht="21.75" hidden="false" customHeight="true" outlineLevel="0" collapsed="false">
      <c r="B94" s="100">
        <f aca="false">IF(C94="","",ROW()-6)</f>
      </c>
      <c r="C94" s="101"/>
      <c r="D94" s="102"/>
      <c r="E94" s="102"/>
      <c r="F94" s="103"/>
      <c r="G94" s="35"/>
      <c r="H94" s="104"/>
      <c r="I94" s="103"/>
      <c r="J94" s="102"/>
      <c r="K94" s="103"/>
      <c r="L94" s="50">
        <f aca="false">IF(G94="","",L93+IF(E94="pemasukan",G94,-G94))</f>
      </c>
    </row>
    <row r="95" customFormat="false" ht="21.75" hidden="false" customHeight="true" outlineLevel="0" collapsed="false">
      <c r="B95" s="43">
        <f aca="false">IF(C95="","",ROW()-6)</f>
      </c>
      <c r="C95" s="96"/>
      <c r="D95" s="97"/>
      <c r="E95" s="97"/>
      <c r="F95" s="98"/>
      <c r="G95" s="33"/>
      <c r="H95" s="99"/>
      <c r="I95" s="98"/>
      <c r="J95" s="97"/>
      <c r="K95" s="98"/>
      <c r="L95" s="48">
        <f aca="false">IF(G95="","",L94+IF(E95="pemasukan",G95,-G95))</f>
      </c>
    </row>
    <row r="96" customFormat="false" ht="21.75" hidden="false" customHeight="true" outlineLevel="0" collapsed="false">
      <c r="B96" s="100">
        <f aca="false">IF(C96="","",ROW()-6)</f>
      </c>
      <c r="C96" s="101"/>
      <c r="D96" s="102"/>
      <c r="E96" s="102"/>
      <c r="F96" s="103"/>
      <c r="G96" s="35"/>
      <c r="H96" s="104"/>
      <c r="I96" s="103"/>
      <c r="J96" s="102"/>
      <c r="K96" s="103"/>
      <c r="L96" s="50">
        <f aca="false">IF(G96="","",L95+IF(E96="pemasukan",G96,-G96))</f>
      </c>
    </row>
    <row r="97" customFormat="false" ht="21.75" hidden="false" customHeight="true" outlineLevel="0" collapsed="false">
      <c r="B97" s="43">
        <f aca="false">IF(C97="","",ROW()-6)</f>
      </c>
      <c r="C97" s="96"/>
      <c r="D97" s="97"/>
      <c r="E97" s="97"/>
      <c r="F97" s="98"/>
      <c r="G97" s="33"/>
      <c r="H97" s="99"/>
      <c r="I97" s="98"/>
      <c r="J97" s="97"/>
      <c r="K97" s="98"/>
      <c r="L97" s="48">
        <f aca="false">IF(G97="","",L96+IF(E97="pemasukan",G97,-G97))</f>
      </c>
    </row>
    <row r="98" customFormat="false" ht="21.75" hidden="false" customHeight="true" outlineLevel="0" collapsed="false">
      <c r="B98" s="100">
        <f aca="false">IF(C98="","",ROW()-6)</f>
      </c>
      <c r="C98" s="101"/>
      <c r="D98" s="102"/>
      <c r="E98" s="102"/>
      <c r="F98" s="103"/>
      <c r="G98" s="35"/>
      <c r="H98" s="104"/>
      <c r="I98" s="103"/>
      <c r="J98" s="102"/>
      <c r="K98" s="103"/>
      <c r="L98" s="50">
        <f aca="false">IF(G98="","",L97+IF(E98="pemasukan",G98,-G98))</f>
      </c>
    </row>
    <row r="99" customFormat="false" ht="21.75" hidden="false" customHeight="true" outlineLevel="0" collapsed="false">
      <c r="B99" s="43">
        <f aca="false">IF(C99="","",ROW()-6)</f>
      </c>
      <c r="C99" s="96"/>
      <c r="D99" s="97"/>
      <c r="E99" s="97"/>
      <c r="F99" s="98"/>
      <c r="G99" s="33"/>
      <c r="H99" s="99"/>
      <c r="I99" s="98"/>
      <c r="J99" s="97"/>
      <c r="K99" s="98"/>
      <c r="L99" s="48">
        <f aca="false">IF(G99="","",L98+IF(E99="pemasukan",G99,-G99))</f>
      </c>
    </row>
    <row r="100" customFormat="false" ht="21.75" hidden="false" customHeight="true" outlineLevel="0" collapsed="false">
      <c r="B100" s="100">
        <f aca="false">IF(C100="","",ROW()-6)</f>
      </c>
      <c r="C100" s="101"/>
      <c r="D100" s="102"/>
      <c r="E100" s="102"/>
      <c r="F100" s="103"/>
      <c r="G100" s="35"/>
      <c r="H100" s="104"/>
      <c r="I100" s="103"/>
      <c r="J100" s="102"/>
      <c r="K100" s="103"/>
      <c r="L100" s="50">
        <f aca="false">IF(G100="","",L99+IF(E100="pemasukan",G100,-G100))</f>
      </c>
    </row>
    <row r="101" customFormat="false" ht="21.75" hidden="false" customHeight="true" outlineLevel="0" collapsed="false">
      <c r="B101" s="43">
        <f aca="false">IF(C101="","",ROW()-6)</f>
      </c>
      <c r="C101" s="96"/>
      <c r="D101" s="97"/>
      <c r="E101" s="97"/>
      <c r="F101" s="98"/>
      <c r="G101" s="33"/>
      <c r="H101" s="99"/>
      <c r="I101" s="98"/>
      <c r="J101" s="97"/>
      <c r="K101" s="98"/>
      <c r="L101" s="48">
        <f aca="false">IF(G101="","",L100+IF(E101="pemasukan",G101,-G101))</f>
      </c>
    </row>
    <row r="102" customFormat="false" ht="21.75" hidden="false" customHeight="true" outlineLevel="0" collapsed="false">
      <c r="B102" s="100">
        <f aca="false">IF(C102="","",ROW()-6)</f>
      </c>
      <c r="C102" s="101"/>
      <c r="D102" s="102"/>
      <c r="E102" s="102"/>
      <c r="F102" s="103"/>
      <c r="G102" s="35"/>
      <c r="H102" s="104"/>
      <c r="I102" s="103"/>
      <c r="J102" s="102"/>
      <c r="K102" s="103"/>
      <c r="L102" s="50">
        <f aca="false">IF(G102="","",L101+IF(E102="pemasukan",G102,-G102))</f>
      </c>
    </row>
    <row r="103" customFormat="false" ht="21.75" hidden="false" customHeight="true" outlineLevel="0" collapsed="false">
      <c r="B103" s="43">
        <f aca="false">IF(C103="","",ROW()-6)</f>
      </c>
      <c r="C103" s="96"/>
      <c r="D103" s="97"/>
      <c r="E103" s="97"/>
      <c r="F103" s="98"/>
      <c r="G103" s="33"/>
      <c r="H103" s="99"/>
      <c r="I103" s="98"/>
      <c r="J103" s="97"/>
      <c r="K103" s="98"/>
      <c r="L103" s="48">
        <f aca="false">IF(G103="","",L102+IF(E103="pemasukan",G103,-G103))</f>
      </c>
    </row>
    <row r="104" customFormat="false" ht="21.75" hidden="false" customHeight="true" outlineLevel="0" collapsed="false">
      <c r="B104" s="100">
        <f aca="false">IF(C104="","",ROW()-6)</f>
      </c>
      <c r="C104" s="101"/>
      <c r="D104" s="102"/>
      <c r="E104" s="102"/>
      <c r="F104" s="103"/>
      <c r="G104" s="35"/>
      <c r="H104" s="104"/>
      <c r="I104" s="103"/>
      <c r="J104" s="102"/>
      <c r="K104" s="103"/>
      <c r="L104" s="50">
        <f aca="false">IF(G104="","",L103+IF(E104="pemasukan",G104,-G104))</f>
      </c>
    </row>
    <row r="105" customFormat="false" ht="21.75" hidden="false" customHeight="true" outlineLevel="0" collapsed="false">
      <c r="B105" s="43">
        <f aca="false">IF(C105="","",ROW()-6)</f>
      </c>
      <c r="C105" s="96"/>
      <c r="D105" s="97"/>
      <c r="E105" s="97"/>
      <c r="F105" s="98"/>
      <c r="G105" s="33"/>
      <c r="H105" s="99"/>
      <c r="I105" s="98"/>
      <c r="J105" s="97"/>
      <c r="K105" s="98"/>
      <c r="L105" s="48">
        <f aca="false">IF(G105="","",L104+IF(E105="pemasukan",G105,-G105))</f>
      </c>
    </row>
    <row r="106" customFormat="false" ht="21.75" hidden="false" customHeight="true" outlineLevel="0" collapsed="false">
      <c r="B106" s="100">
        <f aca="false">IF(C106="","",ROW()-6)</f>
      </c>
      <c r="C106" s="101"/>
      <c r="D106" s="102"/>
      <c r="E106" s="102"/>
      <c r="F106" s="103"/>
      <c r="G106" s="35"/>
      <c r="H106" s="104"/>
      <c r="I106" s="103"/>
      <c r="J106" s="102"/>
      <c r="K106" s="103"/>
      <c r="L106" s="50">
        <f aca="false">IF(G106="","",L105+IF(E106="pemasukan",G106,-G106))</f>
      </c>
    </row>
    <row r="108" customFormat="false" ht="27.75" hidden="false" customHeight="true" outlineLevel="0" collapsed="false">
      <c r="B108" t="s" s="82">
        <v>103</v>
      </c>
      <c r="C108" s="82"/>
      <c r="D108" s="82"/>
      <c r="E108" s="82"/>
      <c r="F108" s="82"/>
      <c r="G108" s="83">
        <f aca="false">SUMPRODUCT((E7:E106="pemasukan")*G7:G106)-SUMPRODUCT((E7:E106="pengeluaran")*G7:G106)</f>
      </c>
      <c r="H108" t="s" s="105">
        <v>132</v>
      </c>
      <c r="I108" t="s" s="106">
        <v>133</v>
      </c>
      <c r="J108" s="106"/>
      <c r="K108" s="106"/>
      <c r="L108" s="83">
        <f aca="false">L106</f>
      </c>
    </row>
    <row r="110" customFormat="false" ht="15" hidden="false" customHeight="true" outlineLevel="0" collapsed="false">
      <c r="B110" t="s" s="19">
        <v>134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</sheetData>
  <mergeCells count="5">
    <mergeCell ref="B2:L2"/>
    <mergeCell ref="B4:L4"/>
    <mergeCell ref="B108:F108"/>
    <mergeCell ref="I108:K108"/>
    <mergeCell ref="B110:L110"/>
  </mergeCells>
  <conditionalFormatting sqref="E7:E106">
    <cfRule type="expression" priority="2" aboveAverage="0" equalAverage="0" bottom="0" percent="0" rank="0" text="" dxfId="2">
      <formula>$E7="pemasukan"</formula>
    </cfRule>
    <cfRule type="expression" priority="3" aboveAverage="0" equalAverage="0" bottom="0" percent="0" rank="0" text="" dxfId="0">
      <formula>$E7="pengeluaran"</formula>
    </cfRule>
  </conditionalFormatting>
  <conditionalFormatting sqref="H7:H106">
    <cfRule type="expression" priority="4" aboveAverage="0" equalAverage="0" bottom="0" percent="0" rank="0" text="" dxfId="4">
      <formula>$H7="utama"</formula>
    </cfRule>
    <cfRule type="expression" priority="5" aboveAverage="0" equalAverage="0" bottom="0" percent="0" rank="0" text="" dxfId="5">
      <formula>$H7="dokumen"</formula>
    </cfRule>
    <cfRule type="expression" priority="6" aboveAverage="0" equalAverage="0" bottom="0" percent="0" rank="0" text="" dxfId="6">
      <formula>$H7="renovasi"</formula>
    </cfRule>
    <cfRule type="expression" priority="7" aboveAverage="0" equalAverage="0" bottom="0" percent="0" rank="0" text="" dxfId="7">
      <formula>$H7="cadangan"</formula>
    </cfRule>
  </conditionalFormatting>
  <conditionalFormatting sqref="J7:J106">
    <cfRule type="expression" priority="8" aboveAverage="0" equalAverage="0" bottom="0" percent="0" rank="0" text="" dxfId="2">
      <formula>$J7="tercatat"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t="s" s="21">
        <v>135</v>
      </c>
      <c r="C2" s="21"/>
      <c r="D2" s="21"/>
      <c r="E2" s="21"/>
      <c r="F2" s="21"/>
      <c r="G2" s="21"/>
      <c r="H2" s="21"/>
      <c r="I2" s="21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  <c r="I3" s="6"/>
    </row>
    <row r="5" customFormat="false" ht="25.5" hidden="false" customHeight="true" outlineLevel="0" collapsed="false">
      <c r="B5" t="s" s="23">
        <v>136</v>
      </c>
      <c r="C5" s="23"/>
      <c r="D5" s="23"/>
      <c r="E5" s="107">
        <v>0</v>
      </c>
      <c r="G5" t="s" s="108">
        <v>137</v>
      </c>
      <c r="H5" s="108"/>
      <c r="I5" s="109">
        <f aca="false">E5-E6</f>
      </c>
    </row>
    <row r="6" customFormat="false" ht="30" hidden="false" customHeight="true" outlineLevel="0" collapsed="false">
      <c r="B6" t="s" s="110">
        <v>138</v>
      </c>
      <c r="C6" s="110"/>
      <c r="D6" s="110"/>
      <c r="E6" s="109">
        <f aca="false">SUMPRODUCT(('Cashflow Timeline'!H7:H106="utama")*('Cashflow Timeline'!E7:E106="pengeluaran")*'Cashflow Timeline'!G7:G106)</f>
      </c>
      <c r="G6" t="s" s="111">
        <v>139</v>
      </c>
      <c r="H6" s="111"/>
      <c r="I6" s="112">
        <f aca="false">IFERROR(E6/E5,0)</f>
      </c>
    </row>
    <row r="8" customFormat="false" ht="30" hidden="false" customHeight="true" outlineLevel="0" collapsed="false">
      <c r="B8" t="s" s="113">
        <v>140</v>
      </c>
      <c r="C8" s="113"/>
      <c r="D8" s="113"/>
      <c r="E8" s="113"/>
      <c r="F8" s="113"/>
      <c r="G8" s="113"/>
      <c r="H8" s="113"/>
      <c r="I8" s="113"/>
    </row>
    <row r="10" customFormat="false" ht="24" hidden="false" customHeight="true" outlineLevel="0" collapsed="false">
      <c r="B10" t="s" s="22">
        <v>141</v>
      </c>
      <c r="C10" s="22"/>
      <c r="D10" s="22"/>
      <c r="E10" s="22"/>
      <c r="F10" s="22"/>
      <c r="G10" s="22"/>
      <c r="H10" s="22"/>
      <c r="I10" s="22"/>
    </row>
    <row r="11" customFormat="false" ht="31.5" hidden="false" customHeight="true" outlineLevel="0" collapsed="false">
      <c r="B11" t="s" s="23">
        <v>122</v>
      </c>
      <c r="C11" t="s" s="23">
        <v>123</v>
      </c>
      <c r="D11" t="s" s="23">
        <v>125</v>
      </c>
      <c r="E11" t="s" s="23">
        <v>126</v>
      </c>
      <c r="F11" t="s" s="23">
        <v>129</v>
      </c>
      <c r="G11" t="s" s="23">
        <v>127</v>
      </c>
      <c r="H11" t="s" s="23">
        <v>94</v>
      </c>
      <c r="I11" t="s" s="23">
        <v>130</v>
      </c>
    </row>
    <row r="12" customFormat="false" ht="21.75" hidden="false" customHeight="true" outlineLevel="0" collapsed="false">
      <c r="B12" s="43">
        <f aca="false">IF(C12="","",ROW()-11)</f>
      </c>
      <c r="C12" s="96"/>
      <c r="D12" s="97"/>
      <c r="E12" s="98"/>
      <c r="F12" s="98"/>
      <c r="G12" s="33"/>
      <c r="H12" s="97"/>
      <c r="I12" s="98"/>
    </row>
    <row r="13" customFormat="false" ht="21.75" hidden="false" customHeight="true" outlineLevel="0" collapsed="false">
      <c r="B13" s="100">
        <f aca="false">IF(C13="","",ROW()-11)</f>
      </c>
      <c r="C13" s="101"/>
      <c r="D13" s="102"/>
      <c r="E13" s="103"/>
      <c r="F13" s="103"/>
      <c r="G13" s="35"/>
      <c r="H13" s="102"/>
      <c r="I13" s="103"/>
    </row>
    <row r="14" customFormat="false" ht="21.75" hidden="false" customHeight="true" outlineLevel="0" collapsed="false">
      <c r="B14" s="43">
        <f aca="false">IF(C14="","",ROW()-11)</f>
      </c>
      <c r="C14" s="96"/>
      <c r="D14" s="97"/>
      <c r="E14" s="98"/>
      <c r="F14" s="98"/>
      <c r="G14" s="33"/>
      <c r="H14" s="97"/>
      <c r="I14" s="98"/>
    </row>
    <row r="15" customFormat="false" ht="21.75" hidden="false" customHeight="true" outlineLevel="0" collapsed="false">
      <c r="B15" s="100">
        <f aca="false">IF(C15="","",ROW()-11)</f>
      </c>
      <c r="C15" s="101"/>
      <c r="D15" s="102"/>
      <c r="E15" s="103"/>
      <c r="F15" s="103"/>
      <c r="G15" s="35"/>
      <c r="H15" s="102"/>
      <c r="I15" s="103"/>
    </row>
    <row r="16" customFormat="false" ht="21.75" hidden="false" customHeight="true" outlineLevel="0" collapsed="false">
      <c r="B16" s="43">
        <f aca="false">IF(C16="","",ROW()-11)</f>
      </c>
      <c r="C16" s="96"/>
      <c r="D16" s="97"/>
      <c r="E16" s="98"/>
      <c r="F16" s="98"/>
      <c r="G16" s="33"/>
      <c r="H16" s="97"/>
      <c r="I16" s="98"/>
    </row>
    <row r="17" customFormat="false" ht="21.75" hidden="false" customHeight="true" outlineLevel="0" collapsed="false">
      <c r="B17" s="100">
        <f aca="false">IF(C17="","",ROW()-11)</f>
      </c>
      <c r="C17" s="101"/>
      <c r="D17" s="102"/>
      <c r="E17" s="103"/>
      <c r="F17" s="103"/>
      <c r="G17" s="35"/>
      <c r="H17" s="102"/>
      <c r="I17" s="103"/>
    </row>
    <row r="18" customFormat="false" ht="21.75" hidden="false" customHeight="true" outlineLevel="0" collapsed="false">
      <c r="B18" s="43">
        <f aca="false">IF(C18="","",ROW()-11)</f>
      </c>
      <c r="C18" s="96"/>
      <c r="D18" s="97"/>
      <c r="E18" s="98"/>
      <c r="F18" s="98"/>
      <c r="G18" s="33"/>
      <c r="H18" s="97"/>
      <c r="I18" s="98"/>
    </row>
    <row r="19" customFormat="false" ht="21.75" hidden="false" customHeight="true" outlineLevel="0" collapsed="false">
      <c r="B19" s="100">
        <f aca="false">IF(C19="","",ROW()-11)</f>
      </c>
      <c r="C19" s="101"/>
      <c r="D19" s="102"/>
      <c r="E19" s="103"/>
      <c r="F19" s="103"/>
      <c r="G19" s="35"/>
      <c r="H19" s="102"/>
      <c r="I19" s="103"/>
    </row>
    <row r="20" customFormat="false" ht="21.75" hidden="false" customHeight="true" outlineLevel="0" collapsed="false">
      <c r="B20" s="43">
        <f aca="false">IF(C20="","",ROW()-11)</f>
      </c>
      <c r="C20" s="96"/>
      <c r="D20" s="97"/>
      <c r="E20" s="98"/>
      <c r="F20" s="98"/>
      <c r="G20" s="33"/>
      <c r="H20" s="97"/>
      <c r="I20" s="98"/>
    </row>
    <row r="21" customFormat="false" ht="21.75" hidden="false" customHeight="true" outlineLevel="0" collapsed="false">
      <c r="B21" s="100">
        <f aca="false">IF(C21="","",ROW()-11)</f>
      </c>
      <c r="C21" s="101"/>
      <c r="D21" s="102"/>
      <c r="E21" s="103"/>
      <c r="F21" s="103"/>
      <c r="G21" s="35"/>
      <c r="H21" s="102"/>
      <c r="I21" s="103"/>
    </row>
    <row r="22" customFormat="false" ht="21.75" hidden="false" customHeight="true" outlineLevel="0" collapsed="false">
      <c r="B22" s="43">
        <f aca="false">IF(C22="","",ROW()-11)</f>
      </c>
      <c r="C22" s="96"/>
      <c r="D22" s="97"/>
      <c r="E22" s="98"/>
      <c r="F22" s="98"/>
      <c r="G22" s="33"/>
      <c r="H22" s="97"/>
      <c r="I22" s="98"/>
    </row>
    <row r="23" customFormat="false" ht="21.75" hidden="false" customHeight="true" outlineLevel="0" collapsed="false">
      <c r="B23" s="100">
        <f aca="false">IF(C23="","",ROW()-11)</f>
      </c>
      <c r="C23" s="101"/>
      <c r="D23" s="102"/>
      <c r="E23" s="103"/>
      <c r="F23" s="103"/>
      <c r="G23" s="35"/>
      <c r="H23" s="102"/>
      <c r="I23" s="103"/>
    </row>
    <row r="24" customFormat="false" ht="21.75" hidden="false" customHeight="true" outlineLevel="0" collapsed="false">
      <c r="B24" s="43">
        <f aca="false">IF(C24="","",ROW()-11)</f>
      </c>
      <c r="C24" s="96"/>
      <c r="D24" s="97"/>
      <c r="E24" s="98"/>
      <c r="F24" s="98"/>
      <c r="G24" s="33"/>
      <c r="H24" s="97"/>
      <c r="I24" s="98"/>
    </row>
    <row r="25" customFormat="false" ht="21.75" hidden="false" customHeight="true" outlineLevel="0" collapsed="false">
      <c r="B25" s="100">
        <f aca="false">IF(C25="","",ROW()-11)</f>
      </c>
      <c r="C25" s="101"/>
      <c r="D25" s="102"/>
      <c r="E25" s="103"/>
      <c r="F25" s="103"/>
      <c r="G25" s="35"/>
      <c r="H25" s="102"/>
      <c r="I25" s="103"/>
    </row>
    <row r="26" customFormat="false" ht="21.75" hidden="false" customHeight="true" outlineLevel="0" collapsed="false">
      <c r="B26" s="43">
        <f aca="false">IF(C26="","",ROW()-11)</f>
      </c>
      <c r="C26" s="96"/>
      <c r="D26" s="97"/>
      <c r="E26" s="98"/>
      <c r="F26" s="98"/>
      <c r="G26" s="33"/>
      <c r="H26" s="97"/>
      <c r="I26" s="98"/>
    </row>
    <row r="27" customFormat="false" ht="21.75" hidden="false" customHeight="true" outlineLevel="0" collapsed="false">
      <c r="B27" s="100">
        <f aca="false">IF(C27="","",ROW()-11)</f>
      </c>
      <c r="C27" s="101"/>
      <c r="D27" s="102"/>
      <c r="E27" s="103"/>
      <c r="F27" s="103"/>
      <c r="G27" s="35"/>
      <c r="H27" s="102"/>
      <c r="I27" s="103"/>
    </row>
    <row r="28" customFormat="false" ht="21.75" hidden="false" customHeight="true" outlineLevel="0" collapsed="false">
      <c r="B28" s="43">
        <f aca="false">IF(C28="","",ROW()-11)</f>
      </c>
      <c r="C28" s="96"/>
      <c r="D28" s="97"/>
      <c r="E28" s="98"/>
      <c r="F28" s="98"/>
      <c r="G28" s="33"/>
      <c r="H28" s="97"/>
      <c r="I28" s="98"/>
    </row>
    <row r="29" customFormat="false" ht="21.75" hidden="false" customHeight="true" outlineLevel="0" collapsed="false">
      <c r="B29" s="100">
        <f aca="false">IF(C29="","",ROW()-11)</f>
      </c>
      <c r="C29" s="101"/>
      <c r="D29" s="102"/>
      <c r="E29" s="103"/>
      <c r="F29" s="103"/>
      <c r="G29" s="35"/>
      <c r="H29" s="102"/>
      <c r="I29" s="103"/>
    </row>
    <row r="30" customFormat="false" ht="21.75" hidden="false" customHeight="true" outlineLevel="0" collapsed="false">
      <c r="B30" s="43">
        <f aca="false">IF(C30="","",ROW()-11)</f>
      </c>
      <c r="C30" s="96"/>
      <c r="D30" s="97"/>
      <c r="E30" s="98"/>
      <c r="F30" s="98"/>
      <c r="G30" s="33"/>
      <c r="H30" s="97"/>
      <c r="I30" s="98"/>
    </row>
    <row r="31" customFormat="false" ht="21.75" hidden="false" customHeight="true" outlineLevel="0" collapsed="false">
      <c r="B31" s="100">
        <f aca="false">IF(C31="","",ROW()-11)</f>
      </c>
      <c r="C31" s="101"/>
      <c r="D31" s="102"/>
      <c r="E31" s="103"/>
      <c r="F31" s="103"/>
      <c r="G31" s="35"/>
      <c r="H31" s="102"/>
      <c r="I31" s="103"/>
    </row>
    <row r="32" customFormat="false" ht="21.75" hidden="false" customHeight="true" outlineLevel="0" collapsed="false">
      <c r="B32" s="43">
        <f aca="false">IF(C32="","",ROW()-11)</f>
      </c>
      <c r="C32" s="96"/>
      <c r="D32" s="97"/>
      <c r="E32" s="98"/>
      <c r="F32" s="98"/>
      <c r="G32" s="33"/>
      <c r="H32" s="97"/>
      <c r="I32" s="98"/>
    </row>
    <row r="33" customFormat="false" ht="21.75" hidden="false" customHeight="true" outlineLevel="0" collapsed="false">
      <c r="B33" s="100">
        <f aca="false">IF(C33="","",ROW()-11)</f>
      </c>
      <c r="C33" s="101"/>
      <c r="D33" s="102"/>
      <c r="E33" s="103"/>
      <c r="F33" s="103"/>
      <c r="G33" s="35"/>
      <c r="H33" s="102"/>
      <c r="I33" s="103"/>
    </row>
    <row r="34" customFormat="false" ht="21.75" hidden="false" customHeight="true" outlineLevel="0" collapsed="false">
      <c r="B34" s="43">
        <f aca="false">IF(C34="","",ROW()-11)</f>
      </c>
      <c r="C34" s="96"/>
      <c r="D34" s="97"/>
      <c r="E34" s="98"/>
      <c r="F34" s="98"/>
      <c r="G34" s="33"/>
      <c r="H34" s="97"/>
      <c r="I34" s="98"/>
    </row>
    <row r="35" customFormat="false" ht="21.75" hidden="false" customHeight="true" outlineLevel="0" collapsed="false">
      <c r="B35" s="100">
        <f aca="false">IF(C35="","",ROW()-11)</f>
      </c>
      <c r="C35" s="101"/>
      <c r="D35" s="102"/>
      <c r="E35" s="103"/>
      <c r="F35" s="103"/>
      <c r="G35" s="35"/>
      <c r="H35" s="102"/>
      <c r="I35" s="103"/>
    </row>
    <row r="36" customFormat="false" ht="21.75" hidden="false" customHeight="true" outlineLevel="0" collapsed="false">
      <c r="B36" s="43">
        <f aca="false">IF(C36="","",ROW()-11)</f>
      </c>
      <c r="C36" s="96"/>
      <c r="D36" s="97"/>
      <c r="E36" s="98"/>
      <c r="F36" s="98"/>
      <c r="G36" s="33"/>
      <c r="H36" s="97"/>
      <c r="I36" s="98"/>
    </row>
    <row r="37" customFormat="false" ht="21.75" hidden="false" customHeight="true" outlineLevel="0" collapsed="false">
      <c r="B37" s="100">
        <f aca="false">IF(C37="","",ROW()-11)</f>
      </c>
      <c r="C37" s="101"/>
      <c r="D37" s="102"/>
      <c r="E37" s="103"/>
      <c r="F37" s="103"/>
      <c r="G37" s="35"/>
      <c r="H37" s="102"/>
      <c r="I37" s="103"/>
    </row>
    <row r="38" customFormat="false" ht="21.75" hidden="false" customHeight="true" outlineLevel="0" collapsed="false">
      <c r="B38" s="43">
        <f aca="false">IF(C38="","",ROW()-11)</f>
      </c>
      <c r="C38" s="96"/>
      <c r="D38" s="97"/>
      <c r="E38" s="98"/>
      <c r="F38" s="98"/>
      <c r="G38" s="33"/>
      <c r="H38" s="97"/>
      <c r="I38" s="98"/>
    </row>
    <row r="39" customFormat="false" ht="21.75" hidden="false" customHeight="true" outlineLevel="0" collapsed="false">
      <c r="B39" s="100">
        <f aca="false">IF(C39="","",ROW()-11)</f>
      </c>
      <c r="C39" s="101"/>
      <c r="D39" s="102"/>
      <c r="E39" s="103"/>
      <c r="F39" s="103"/>
      <c r="G39" s="35"/>
      <c r="H39" s="102"/>
      <c r="I39" s="103"/>
    </row>
    <row r="40" customFormat="false" ht="21.75" hidden="false" customHeight="true" outlineLevel="0" collapsed="false">
      <c r="B40" s="43">
        <f aca="false">IF(C40="","",ROW()-11)</f>
      </c>
      <c r="C40" s="96"/>
      <c r="D40" s="97"/>
      <c r="E40" s="98"/>
      <c r="F40" s="98"/>
      <c r="G40" s="33"/>
      <c r="H40" s="97"/>
      <c r="I40" s="98"/>
    </row>
    <row r="41" customFormat="false" ht="21.75" hidden="false" customHeight="true" outlineLevel="0" collapsed="false">
      <c r="B41" s="100">
        <f aca="false">IF(C41="","",ROW()-11)</f>
      </c>
      <c r="C41" s="101"/>
      <c r="D41" s="102"/>
      <c r="E41" s="103"/>
      <c r="F41" s="103"/>
      <c r="G41" s="35"/>
      <c r="H41" s="102"/>
      <c r="I41" s="103"/>
    </row>
    <row r="42" customFormat="false" ht="21.75" hidden="false" customHeight="true" outlineLevel="0" collapsed="false">
      <c r="B42" s="43">
        <f aca="false">IF(C42="","",ROW()-11)</f>
      </c>
      <c r="C42" s="96"/>
      <c r="D42" s="97"/>
      <c r="E42" s="98"/>
      <c r="F42" s="98"/>
      <c r="G42" s="33"/>
      <c r="H42" s="97"/>
      <c r="I42" s="98"/>
    </row>
    <row r="43" customFormat="false" ht="21.75" hidden="false" customHeight="true" outlineLevel="0" collapsed="false">
      <c r="B43" s="100">
        <f aca="false">IF(C43="","",ROW()-11)</f>
      </c>
      <c r="C43" s="101"/>
      <c r="D43" s="102"/>
      <c r="E43" s="103"/>
      <c r="F43" s="103"/>
      <c r="G43" s="35"/>
      <c r="H43" s="102"/>
      <c r="I43" s="103"/>
    </row>
    <row r="44" customFormat="false" ht="21.75" hidden="false" customHeight="true" outlineLevel="0" collapsed="false">
      <c r="B44" s="43">
        <f aca="false">IF(C44="","",ROW()-11)</f>
      </c>
      <c r="C44" s="96"/>
      <c r="D44" s="97"/>
      <c r="E44" s="98"/>
      <c r="F44" s="98"/>
      <c r="G44" s="33"/>
      <c r="H44" s="97"/>
      <c r="I44" s="98"/>
    </row>
    <row r="45" customFormat="false" ht="21.75" hidden="false" customHeight="true" outlineLevel="0" collapsed="false">
      <c r="B45" s="100">
        <f aca="false">IF(C45="","",ROW()-11)</f>
      </c>
      <c r="C45" s="101"/>
      <c r="D45" s="102"/>
      <c r="E45" s="103"/>
      <c r="F45" s="103"/>
      <c r="G45" s="35"/>
      <c r="H45" s="102"/>
      <c r="I45" s="103"/>
    </row>
    <row r="46" customFormat="false" ht="21.75" hidden="false" customHeight="true" outlineLevel="0" collapsed="false">
      <c r="B46" s="43">
        <f aca="false">IF(C46="","",ROW()-11)</f>
      </c>
      <c r="C46" s="96"/>
      <c r="D46" s="97"/>
      <c r="E46" s="98"/>
      <c r="F46" s="98"/>
      <c r="G46" s="33"/>
      <c r="H46" s="97"/>
      <c r="I46" s="98"/>
    </row>
    <row r="47" customFormat="false" ht="21.75" hidden="false" customHeight="true" outlineLevel="0" collapsed="false">
      <c r="B47" s="100">
        <f aca="false">IF(C47="","",ROW()-11)</f>
      </c>
      <c r="C47" s="101"/>
      <c r="D47" s="102"/>
      <c r="E47" s="103"/>
      <c r="F47" s="103"/>
      <c r="G47" s="35"/>
      <c r="H47" s="102"/>
      <c r="I47" s="103"/>
    </row>
    <row r="48" customFormat="false" ht="21.75" hidden="false" customHeight="true" outlineLevel="0" collapsed="false">
      <c r="B48" s="43">
        <f aca="false">IF(C48="","",ROW()-11)</f>
      </c>
      <c r="C48" s="96"/>
      <c r="D48" s="97"/>
      <c r="E48" s="98"/>
      <c r="F48" s="98"/>
      <c r="G48" s="33"/>
      <c r="H48" s="97"/>
      <c r="I48" s="98"/>
    </row>
    <row r="49" customFormat="false" ht="21.75" hidden="false" customHeight="true" outlineLevel="0" collapsed="false">
      <c r="B49" s="100">
        <f aca="false">IF(C49="","",ROW()-11)</f>
      </c>
      <c r="C49" s="101"/>
      <c r="D49" s="102"/>
      <c r="E49" s="103"/>
      <c r="F49" s="103"/>
      <c r="G49" s="35"/>
      <c r="H49" s="102"/>
      <c r="I49" s="103"/>
    </row>
    <row r="50" customFormat="false" ht="21.75" hidden="false" customHeight="true" outlineLevel="0" collapsed="false">
      <c r="B50" s="43">
        <f aca="false">IF(C50="","",ROW()-11)</f>
      </c>
      <c r="C50" s="96"/>
      <c r="D50" s="97"/>
      <c r="E50" s="98"/>
      <c r="F50" s="98"/>
      <c r="G50" s="33"/>
      <c r="H50" s="97"/>
      <c r="I50" s="98"/>
    </row>
    <row r="51" customFormat="false" ht="21.75" hidden="false" customHeight="true" outlineLevel="0" collapsed="false">
      <c r="B51" s="100">
        <f aca="false">IF(C51="","",ROW()-11)</f>
      </c>
      <c r="C51" s="101"/>
      <c r="D51" s="102"/>
      <c r="E51" s="103"/>
      <c r="F51" s="103"/>
      <c r="G51" s="35"/>
      <c r="H51" s="102"/>
      <c r="I51" s="103"/>
    </row>
    <row r="52" customFormat="false" ht="21.75" hidden="false" customHeight="true" outlineLevel="0" collapsed="false">
      <c r="B52" s="43">
        <f aca="false">IF(C52="","",ROW()-11)</f>
      </c>
      <c r="C52" s="96"/>
      <c r="D52" s="97"/>
      <c r="E52" s="98"/>
      <c r="F52" s="98"/>
      <c r="G52" s="33"/>
      <c r="H52" s="97"/>
      <c r="I52" s="98"/>
    </row>
    <row r="53" customFormat="false" ht="21.75" hidden="false" customHeight="true" outlineLevel="0" collapsed="false">
      <c r="B53" s="100">
        <f aca="false">IF(C53="","",ROW()-11)</f>
      </c>
      <c r="C53" s="101"/>
      <c r="D53" s="102"/>
      <c r="E53" s="103"/>
      <c r="F53" s="103"/>
      <c r="G53" s="35"/>
      <c r="H53" s="102"/>
      <c r="I53" s="103"/>
    </row>
    <row r="54" customFormat="false" ht="21.75" hidden="false" customHeight="true" outlineLevel="0" collapsed="false">
      <c r="B54" s="43">
        <f aca="false">IF(C54="","",ROW()-11)</f>
      </c>
      <c r="C54" s="96"/>
      <c r="D54" s="97"/>
      <c r="E54" s="98"/>
      <c r="F54" s="98"/>
      <c r="G54" s="33"/>
      <c r="H54" s="97"/>
      <c r="I54" s="98"/>
    </row>
    <row r="55" customFormat="false" ht="21.75" hidden="false" customHeight="true" outlineLevel="0" collapsed="false">
      <c r="B55" s="100">
        <f aca="false">IF(C55="","",ROW()-11)</f>
      </c>
      <c r="C55" s="101"/>
      <c r="D55" s="102"/>
      <c r="E55" s="103"/>
      <c r="F55" s="103"/>
      <c r="G55" s="35"/>
      <c r="H55" s="102"/>
      <c r="I55" s="103"/>
    </row>
    <row r="56" customFormat="false" ht="21.75" hidden="false" customHeight="true" outlineLevel="0" collapsed="false">
      <c r="B56" s="43">
        <f aca="false">IF(C56="","",ROW()-11)</f>
      </c>
      <c r="C56" s="96"/>
      <c r="D56" s="97"/>
      <c r="E56" s="98"/>
      <c r="F56" s="98"/>
      <c r="G56" s="33"/>
      <c r="H56" s="97"/>
      <c r="I56" s="98"/>
    </row>
    <row r="57" customFormat="false" ht="21.75" hidden="false" customHeight="true" outlineLevel="0" collapsed="false">
      <c r="B57" s="100">
        <f aca="false">IF(C57="","",ROW()-11)</f>
      </c>
      <c r="C57" s="101"/>
      <c r="D57" s="102"/>
      <c r="E57" s="103"/>
      <c r="F57" s="103"/>
      <c r="G57" s="35"/>
      <c r="H57" s="102"/>
      <c r="I57" s="103"/>
    </row>
    <row r="58" customFormat="false" ht="21.75" hidden="false" customHeight="true" outlineLevel="0" collapsed="false">
      <c r="B58" s="43">
        <f aca="false">IF(C58="","",ROW()-11)</f>
      </c>
      <c r="C58" s="96"/>
      <c r="D58" s="97"/>
      <c r="E58" s="98"/>
      <c r="F58" s="98"/>
      <c r="G58" s="33"/>
      <c r="H58" s="97"/>
      <c r="I58" s="98"/>
    </row>
    <row r="59" customFormat="false" ht="21.75" hidden="false" customHeight="true" outlineLevel="0" collapsed="false">
      <c r="B59" s="100">
        <f aca="false">IF(C59="","",ROW()-11)</f>
      </c>
      <c r="C59" s="101"/>
      <c r="D59" s="102"/>
      <c r="E59" s="103"/>
      <c r="F59" s="103"/>
      <c r="G59" s="35"/>
      <c r="H59" s="102"/>
      <c r="I59" s="103"/>
    </row>
    <row r="60" customFormat="false" ht="21.75" hidden="false" customHeight="true" outlineLevel="0" collapsed="false">
      <c r="B60" s="43">
        <f aca="false">IF(C60="","",ROW()-11)</f>
      </c>
      <c r="C60" s="96"/>
      <c r="D60" s="97"/>
      <c r="E60" s="98"/>
      <c r="F60" s="98"/>
      <c r="G60" s="33"/>
      <c r="H60" s="97"/>
      <c r="I60" s="98"/>
    </row>
    <row r="61" customFormat="false" ht="21.75" hidden="false" customHeight="true" outlineLevel="0" collapsed="false">
      <c r="B61" s="100">
        <f aca="false">IF(C61="","",ROW()-11)</f>
      </c>
      <c r="C61" s="101"/>
      <c r="D61" s="102"/>
      <c r="E61" s="103"/>
      <c r="F61" s="103"/>
      <c r="G61" s="35"/>
      <c r="H61" s="102"/>
      <c r="I61" s="103"/>
    </row>
    <row r="62" customFormat="false" ht="30" hidden="false" customHeight="true" outlineLevel="0" collapsed="false">
      <c r="B62" t="s" s="82">
        <v>142</v>
      </c>
      <c r="C62" s="82"/>
      <c r="D62" s="82"/>
      <c r="E62" s="82"/>
      <c r="F62" s="82"/>
      <c r="G62" s="83">
        <f aca="false">SUMIFS(G12:G61,D12:D61,"pengeluaran")</f>
      </c>
      <c r="H62" s="114"/>
      <c r="I62" s="114"/>
    </row>
    <row r="64" customFormat="false" ht="15" hidden="false" customHeight="true" outlineLevel="0" collapsed="false">
      <c r="B64" t="s" s="19">
        <v>143</v>
      </c>
      <c r="C64" s="19"/>
      <c r="D64" s="19"/>
      <c r="E64" s="19"/>
      <c r="F64" s="19"/>
      <c r="G64" s="19"/>
      <c r="H64" s="19"/>
      <c r="I64" s="19"/>
    </row>
  </sheetData>
  <mergeCells count="10">
    <mergeCell ref="B2:I2"/>
    <mergeCell ref="B5:D5"/>
    <mergeCell ref="G5:H5"/>
    <mergeCell ref="B6:D6"/>
    <mergeCell ref="G6:H6"/>
    <mergeCell ref="B8:I8"/>
    <mergeCell ref="B10:I10"/>
    <mergeCell ref="B62:F62"/>
    <mergeCell ref="H62:I62"/>
    <mergeCell ref="B64:I64"/>
  </mergeCells>
  <conditionalFormatting sqref="D12:D61">
    <cfRule type="expression" priority="2" aboveAverage="0" equalAverage="0" bottom="0" percent="0" rank="0" text="" dxfId="2">
      <formula>$D12="pemasukan"</formula>
    </cfRule>
    <cfRule type="expression" priority="3" aboveAverage="0" equalAverage="0" bottom="0" percent="0" rank="0" text="" dxfId="0">
      <formula>$D12="pengeluaran"</formula>
    </cfRule>
  </conditionalFormatting>
  <conditionalFormatting sqref="G12:G61">
    <cfRule type="cellIs" priority="4" operator="greaterThan" aboveAverage="0" equalAverage="0" bottom="0" percent="0" rank="0" text="" dxfId="3">
      <formula>E$5*0.2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t="s" s="115">
        <v>144</v>
      </c>
      <c r="C2" s="115"/>
      <c r="D2" s="115"/>
      <c r="E2" s="115"/>
      <c r="F2" s="115"/>
      <c r="G2" s="115"/>
      <c r="H2" s="115"/>
      <c r="I2" s="115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  <c r="I3" s="6"/>
    </row>
    <row r="5" customFormat="false" ht="25.5" hidden="false" customHeight="true" outlineLevel="0" collapsed="false">
      <c r="B5" t="s" s="23">
        <v>136</v>
      </c>
      <c r="C5" s="23"/>
      <c r="D5" s="23"/>
      <c r="E5" s="107">
        <v>0</v>
      </c>
      <c r="G5" t="s" s="108">
        <v>137</v>
      </c>
      <c r="H5" s="108"/>
      <c r="I5" s="109">
        <f aca="false">E5-E6</f>
      </c>
    </row>
    <row r="6" customFormat="false" ht="30" hidden="false" customHeight="true" outlineLevel="0" collapsed="false">
      <c r="B6" t="s" s="110">
        <v>138</v>
      </c>
      <c r="C6" s="110"/>
      <c r="D6" s="110"/>
      <c r="E6" s="109">
        <f aca="false">SUMPRODUCT(('Cashflow Timeline'!H7:H106="dokumen")*('Cashflow Timeline'!E7:E106="pengeluaran")*'Cashflow Timeline'!G7:G106)</f>
      </c>
      <c r="G6" t="s" s="111">
        <v>139</v>
      </c>
      <c r="H6" s="111"/>
      <c r="I6" s="112">
        <f aca="false">IFERROR(E6/E5,0)</f>
      </c>
    </row>
    <row r="8" customFormat="false" ht="30" hidden="false" customHeight="true" outlineLevel="0" collapsed="false">
      <c r="B8" t="s" s="113">
        <v>145</v>
      </c>
      <c r="C8" s="113"/>
      <c r="D8" s="113"/>
      <c r="E8" s="113"/>
      <c r="F8" s="113"/>
      <c r="G8" s="113"/>
      <c r="H8" s="113"/>
      <c r="I8" s="113"/>
    </row>
    <row r="10" customFormat="false" ht="24" hidden="false" customHeight="true" outlineLevel="0" collapsed="false">
      <c r="B10" t="s" s="22">
        <v>141</v>
      </c>
      <c r="C10" s="22"/>
      <c r="D10" s="22"/>
      <c r="E10" s="22"/>
      <c r="F10" s="22"/>
      <c r="G10" s="22"/>
      <c r="H10" s="22"/>
      <c r="I10" s="22"/>
    </row>
    <row r="11" customFormat="false" ht="31.5" hidden="false" customHeight="true" outlineLevel="0" collapsed="false">
      <c r="B11" t="s" s="116">
        <v>122</v>
      </c>
      <c r="C11" t="s" s="116">
        <v>123</v>
      </c>
      <c r="D11" t="s" s="116">
        <v>125</v>
      </c>
      <c r="E11" t="s" s="116">
        <v>126</v>
      </c>
      <c r="F11" t="s" s="116">
        <v>129</v>
      </c>
      <c r="G11" t="s" s="116">
        <v>127</v>
      </c>
      <c r="H11" t="s" s="116">
        <v>94</v>
      </c>
      <c r="I11" t="s" s="116">
        <v>130</v>
      </c>
    </row>
    <row r="12" customFormat="false" ht="21.75" hidden="false" customHeight="true" outlineLevel="0" collapsed="false">
      <c r="B12" s="43">
        <f aca="false">IF(C12="","",ROW()-11)</f>
      </c>
      <c r="C12" s="96"/>
      <c r="D12" s="97"/>
      <c r="E12" s="98"/>
      <c r="F12" s="98"/>
      <c r="G12" s="33"/>
      <c r="H12" s="97"/>
      <c r="I12" s="98"/>
    </row>
    <row r="13" customFormat="false" ht="21.75" hidden="false" customHeight="true" outlineLevel="0" collapsed="false">
      <c r="B13" s="100">
        <f aca="false">IF(C13="","",ROW()-11)</f>
      </c>
      <c r="C13" s="101"/>
      <c r="D13" s="102"/>
      <c r="E13" s="103"/>
      <c r="F13" s="103"/>
      <c r="G13" s="35"/>
      <c r="H13" s="102"/>
      <c r="I13" s="103"/>
    </row>
    <row r="14" customFormat="false" ht="21.75" hidden="false" customHeight="true" outlineLevel="0" collapsed="false">
      <c r="B14" s="43">
        <f aca="false">IF(C14="","",ROW()-11)</f>
      </c>
      <c r="C14" s="96"/>
      <c r="D14" s="97"/>
      <c r="E14" s="98"/>
      <c r="F14" s="98"/>
      <c r="G14" s="33"/>
      <c r="H14" s="97"/>
      <c r="I14" s="98"/>
    </row>
    <row r="15" customFormat="false" ht="21.75" hidden="false" customHeight="true" outlineLevel="0" collapsed="false">
      <c r="B15" s="100">
        <f aca="false">IF(C15="","",ROW()-11)</f>
      </c>
      <c r="C15" s="101"/>
      <c r="D15" s="102"/>
      <c r="E15" s="103"/>
      <c r="F15" s="103"/>
      <c r="G15" s="35"/>
      <c r="H15" s="102"/>
      <c r="I15" s="103"/>
    </row>
    <row r="16" customFormat="false" ht="21.75" hidden="false" customHeight="true" outlineLevel="0" collapsed="false">
      <c r="B16" s="43">
        <f aca="false">IF(C16="","",ROW()-11)</f>
      </c>
      <c r="C16" s="96"/>
      <c r="D16" s="97"/>
      <c r="E16" s="98"/>
      <c r="F16" s="98"/>
      <c r="G16" s="33"/>
      <c r="H16" s="97"/>
      <c r="I16" s="98"/>
    </row>
    <row r="17" customFormat="false" ht="21.75" hidden="false" customHeight="true" outlineLevel="0" collapsed="false">
      <c r="B17" s="100">
        <f aca="false">IF(C17="","",ROW()-11)</f>
      </c>
      <c r="C17" s="101"/>
      <c r="D17" s="102"/>
      <c r="E17" s="103"/>
      <c r="F17" s="103"/>
      <c r="G17" s="35"/>
      <c r="H17" s="102"/>
      <c r="I17" s="103"/>
    </row>
    <row r="18" customFormat="false" ht="21.75" hidden="false" customHeight="true" outlineLevel="0" collapsed="false">
      <c r="B18" s="43">
        <f aca="false">IF(C18="","",ROW()-11)</f>
      </c>
      <c r="C18" s="96"/>
      <c r="D18" s="97"/>
      <c r="E18" s="98"/>
      <c r="F18" s="98"/>
      <c r="G18" s="33"/>
      <c r="H18" s="97"/>
      <c r="I18" s="98"/>
    </row>
    <row r="19" customFormat="false" ht="21.75" hidden="false" customHeight="true" outlineLevel="0" collapsed="false">
      <c r="B19" s="100">
        <f aca="false">IF(C19="","",ROW()-11)</f>
      </c>
      <c r="C19" s="101"/>
      <c r="D19" s="102"/>
      <c r="E19" s="103"/>
      <c r="F19" s="103"/>
      <c r="G19" s="35"/>
      <c r="H19" s="102"/>
      <c r="I19" s="103"/>
    </row>
    <row r="20" customFormat="false" ht="21.75" hidden="false" customHeight="true" outlineLevel="0" collapsed="false">
      <c r="B20" s="43">
        <f aca="false">IF(C20="","",ROW()-11)</f>
      </c>
      <c r="C20" s="96"/>
      <c r="D20" s="97"/>
      <c r="E20" s="98"/>
      <c r="F20" s="98"/>
      <c r="G20" s="33"/>
      <c r="H20" s="97"/>
      <c r="I20" s="98"/>
    </row>
    <row r="21" customFormat="false" ht="21.75" hidden="false" customHeight="true" outlineLevel="0" collapsed="false">
      <c r="B21" s="100">
        <f aca="false">IF(C21="","",ROW()-11)</f>
      </c>
      <c r="C21" s="101"/>
      <c r="D21" s="102"/>
      <c r="E21" s="103"/>
      <c r="F21" s="103"/>
      <c r="G21" s="35"/>
      <c r="H21" s="102"/>
      <c r="I21" s="103"/>
    </row>
    <row r="22" customFormat="false" ht="21.75" hidden="false" customHeight="true" outlineLevel="0" collapsed="false">
      <c r="B22" s="43">
        <f aca="false">IF(C22="","",ROW()-11)</f>
      </c>
      <c r="C22" s="96"/>
      <c r="D22" s="97"/>
      <c r="E22" s="98"/>
      <c r="F22" s="98"/>
      <c r="G22" s="33"/>
      <c r="H22" s="97"/>
      <c r="I22" s="98"/>
    </row>
    <row r="23" customFormat="false" ht="21.75" hidden="false" customHeight="true" outlineLevel="0" collapsed="false">
      <c r="B23" s="100">
        <f aca="false">IF(C23="","",ROW()-11)</f>
      </c>
      <c r="C23" s="101"/>
      <c r="D23" s="102"/>
      <c r="E23" s="103"/>
      <c r="F23" s="103"/>
      <c r="G23" s="35"/>
      <c r="H23" s="102"/>
      <c r="I23" s="103"/>
    </row>
    <row r="24" customFormat="false" ht="21.75" hidden="false" customHeight="true" outlineLevel="0" collapsed="false">
      <c r="B24" s="43">
        <f aca="false">IF(C24="","",ROW()-11)</f>
      </c>
      <c r="C24" s="96"/>
      <c r="D24" s="97"/>
      <c r="E24" s="98"/>
      <c r="F24" s="98"/>
      <c r="G24" s="33"/>
      <c r="H24" s="97"/>
      <c r="I24" s="98"/>
    </row>
    <row r="25" customFormat="false" ht="21.75" hidden="false" customHeight="true" outlineLevel="0" collapsed="false">
      <c r="B25" s="100">
        <f aca="false">IF(C25="","",ROW()-11)</f>
      </c>
      <c r="C25" s="101"/>
      <c r="D25" s="102"/>
      <c r="E25" s="103"/>
      <c r="F25" s="103"/>
      <c r="G25" s="35"/>
      <c r="H25" s="102"/>
      <c r="I25" s="103"/>
    </row>
    <row r="26" customFormat="false" ht="21.75" hidden="false" customHeight="true" outlineLevel="0" collapsed="false">
      <c r="B26" s="43">
        <f aca="false">IF(C26="","",ROW()-11)</f>
      </c>
      <c r="C26" s="96"/>
      <c r="D26" s="97"/>
      <c r="E26" s="98"/>
      <c r="F26" s="98"/>
      <c r="G26" s="33"/>
      <c r="H26" s="97"/>
      <c r="I26" s="98"/>
    </row>
    <row r="27" customFormat="false" ht="21.75" hidden="false" customHeight="true" outlineLevel="0" collapsed="false">
      <c r="B27" s="100">
        <f aca="false">IF(C27="","",ROW()-11)</f>
      </c>
      <c r="C27" s="101"/>
      <c r="D27" s="102"/>
      <c r="E27" s="103"/>
      <c r="F27" s="103"/>
      <c r="G27" s="35"/>
      <c r="H27" s="102"/>
      <c r="I27" s="103"/>
    </row>
    <row r="28" customFormat="false" ht="21.75" hidden="false" customHeight="true" outlineLevel="0" collapsed="false">
      <c r="B28" s="43">
        <f aca="false">IF(C28="","",ROW()-11)</f>
      </c>
      <c r="C28" s="96"/>
      <c r="D28" s="97"/>
      <c r="E28" s="98"/>
      <c r="F28" s="98"/>
      <c r="G28" s="33"/>
      <c r="H28" s="97"/>
      <c r="I28" s="98"/>
    </row>
    <row r="29" customFormat="false" ht="21.75" hidden="false" customHeight="true" outlineLevel="0" collapsed="false">
      <c r="B29" s="100">
        <f aca="false">IF(C29="","",ROW()-11)</f>
      </c>
      <c r="C29" s="101"/>
      <c r="D29" s="102"/>
      <c r="E29" s="103"/>
      <c r="F29" s="103"/>
      <c r="G29" s="35"/>
      <c r="H29" s="102"/>
      <c r="I29" s="103"/>
    </row>
    <row r="30" customFormat="false" ht="21.75" hidden="false" customHeight="true" outlineLevel="0" collapsed="false">
      <c r="B30" s="43">
        <f aca="false">IF(C30="","",ROW()-11)</f>
      </c>
      <c r="C30" s="96"/>
      <c r="D30" s="97"/>
      <c r="E30" s="98"/>
      <c r="F30" s="98"/>
      <c r="G30" s="33"/>
      <c r="H30" s="97"/>
      <c r="I30" s="98"/>
    </row>
    <row r="31" customFormat="false" ht="21.75" hidden="false" customHeight="true" outlineLevel="0" collapsed="false">
      <c r="B31" s="100">
        <f aca="false">IF(C31="","",ROW()-11)</f>
      </c>
      <c r="C31" s="101"/>
      <c r="D31" s="102"/>
      <c r="E31" s="103"/>
      <c r="F31" s="103"/>
      <c r="G31" s="35"/>
      <c r="H31" s="102"/>
      <c r="I31" s="103"/>
    </row>
    <row r="32" customFormat="false" ht="21.75" hidden="false" customHeight="true" outlineLevel="0" collapsed="false">
      <c r="B32" s="43">
        <f aca="false">IF(C32="","",ROW()-11)</f>
      </c>
      <c r="C32" s="96"/>
      <c r="D32" s="97"/>
      <c r="E32" s="98"/>
      <c r="F32" s="98"/>
      <c r="G32" s="33"/>
      <c r="H32" s="97"/>
      <c r="I32" s="98"/>
    </row>
    <row r="33" customFormat="false" ht="21.75" hidden="false" customHeight="true" outlineLevel="0" collapsed="false">
      <c r="B33" s="100">
        <f aca="false">IF(C33="","",ROW()-11)</f>
      </c>
      <c r="C33" s="101"/>
      <c r="D33" s="102"/>
      <c r="E33" s="103"/>
      <c r="F33" s="103"/>
      <c r="G33" s="35"/>
      <c r="H33" s="102"/>
      <c r="I33" s="103"/>
    </row>
    <row r="34" customFormat="false" ht="21.75" hidden="false" customHeight="true" outlineLevel="0" collapsed="false">
      <c r="B34" s="43">
        <f aca="false">IF(C34="","",ROW()-11)</f>
      </c>
      <c r="C34" s="96"/>
      <c r="D34" s="97"/>
      <c r="E34" s="98"/>
      <c r="F34" s="98"/>
      <c r="G34" s="33"/>
      <c r="H34" s="97"/>
      <c r="I34" s="98"/>
    </row>
    <row r="35" customFormat="false" ht="21.75" hidden="false" customHeight="true" outlineLevel="0" collapsed="false">
      <c r="B35" s="100">
        <f aca="false">IF(C35="","",ROW()-11)</f>
      </c>
      <c r="C35" s="101"/>
      <c r="D35" s="102"/>
      <c r="E35" s="103"/>
      <c r="F35" s="103"/>
      <c r="G35" s="35"/>
      <c r="H35" s="102"/>
      <c r="I35" s="103"/>
    </row>
    <row r="36" customFormat="false" ht="21.75" hidden="false" customHeight="true" outlineLevel="0" collapsed="false">
      <c r="B36" s="43">
        <f aca="false">IF(C36="","",ROW()-11)</f>
      </c>
      <c r="C36" s="96"/>
      <c r="D36" s="97"/>
      <c r="E36" s="98"/>
      <c r="F36" s="98"/>
      <c r="G36" s="33"/>
      <c r="H36" s="97"/>
      <c r="I36" s="98"/>
    </row>
    <row r="37" customFormat="false" ht="21.75" hidden="false" customHeight="true" outlineLevel="0" collapsed="false">
      <c r="B37" s="100">
        <f aca="false">IF(C37="","",ROW()-11)</f>
      </c>
      <c r="C37" s="101"/>
      <c r="D37" s="102"/>
      <c r="E37" s="103"/>
      <c r="F37" s="103"/>
      <c r="G37" s="35"/>
      <c r="H37" s="102"/>
      <c r="I37" s="103"/>
    </row>
    <row r="38" customFormat="false" ht="21.75" hidden="false" customHeight="true" outlineLevel="0" collapsed="false">
      <c r="B38" s="43">
        <f aca="false">IF(C38="","",ROW()-11)</f>
      </c>
      <c r="C38" s="96"/>
      <c r="D38" s="97"/>
      <c r="E38" s="98"/>
      <c r="F38" s="98"/>
      <c r="G38" s="33"/>
      <c r="H38" s="97"/>
      <c r="I38" s="98"/>
    </row>
    <row r="39" customFormat="false" ht="21.75" hidden="false" customHeight="true" outlineLevel="0" collapsed="false">
      <c r="B39" s="100">
        <f aca="false">IF(C39="","",ROW()-11)</f>
      </c>
      <c r="C39" s="101"/>
      <c r="D39" s="102"/>
      <c r="E39" s="103"/>
      <c r="F39" s="103"/>
      <c r="G39" s="35"/>
      <c r="H39" s="102"/>
      <c r="I39" s="103"/>
    </row>
    <row r="40" customFormat="false" ht="21.75" hidden="false" customHeight="true" outlineLevel="0" collapsed="false">
      <c r="B40" s="43">
        <f aca="false">IF(C40="","",ROW()-11)</f>
      </c>
      <c r="C40" s="96"/>
      <c r="D40" s="97"/>
      <c r="E40" s="98"/>
      <c r="F40" s="98"/>
      <c r="G40" s="33"/>
      <c r="H40" s="97"/>
      <c r="I40" s="98"/>
    </row>
    <row r="41" customFormat="false" ht="21.75" hidden="false" customHeight="true" outlineLevel="0" collapsed="false">
      <c r="B41" s="100">
        <f aca="false">IF(C41="","",ROW()-11)</f>
      </c>
      <c r="C41" s="101"/>
      <c r="D41" s="102"/>
      <c r="E41" s="103"/>
      <c r="F41" s="103"/>
      <c r="G41" s="35"/>
      <c r="H41" s="102"/>
      <c r="I41" s="103"/>
    </row>
    <row r="42" customFormat="false" ht="21.75" hidden="false" customHeight="true" outlineLevel="0" collapsed="false">
      <c r="B42" s="43">
        <f aca="false">IF(C42="","",ROW()-11)</f>
      </c>
      <c r="C42" s="96"/>
      <c r="D42" s="97"/>
      <c r="E42" s="98"/>
      <c r="F42" s="98"/>
      <c r="G42" s="33"/>
      <c r="H42" s="97"/>
      <c r="I42" s="98"/>
    </row>
    <row r="43" customFormat="false" ht="21.75" hidden="false" customHeight="true" outlineLevel="0" collapsed="false">
      <c r="B43" s="100">
        <f aca="false">IF(C43="","",ROW()-11)</f>
      </c>
      <c r="C43" s="101"/>
      <c r="D43" s="102"/>
      <c r="E43" s="103"/>
      <c r="F43" s="103"/>
      <c r="G43" s="35"/>
      <c r="H43" s="102"/>
      <c r="I43" s="103"/>
    </row>
    <row r="44" customFormat="false" ht="21.75" hidden="false" customHeight="true" outlineLevel="0" collapsed="false">
      <c r="B44" s="43">
        <f aca="false">IF(C44="","",ROW()-11)</f>
      </c>
      <c r="C44" s="96"/>
      <c r="D44" s="97"/>
      <c r="E44" s="98"/>
      <c r="F44" s="98"/>
      <c r="G44" s="33"/>
      <c r="H44" s="97"/>
      <c r="I44" s="98"/>
    </row>
    <row r="45" customFormat="false" ht="21.75" hidden="false" customHeight="true" outlineLevel="0" collapsed="false">
      <c r="B45" s="100">
        <f aca="false">IF(C45="","",ROW()-11)</f>
      </c>
      <c r="C45" s="101"/>
      <c r="D45" s="102"/>
      <c r="E45" s="103"/>
      <c r="F45" s="103"/>
      <c r="G45" s="35"/>
      <c r="H45" s="102"/>
      <c r="I45" s="103"/>
    </row>
    <row r="46" customFormat="false" ht="21.75" hidden="false" customHeight="true" outlineLevel="0" collapsed="false">
      <c r="B46" s="43">
        <f aca="false">IF(C46="","",ROW()-11)</f>
      </c>
      <c r="C46" s="96"/>
      <c r="D46" s="97"/>
      <c r="E46" s="98"/>
      <c r="F46" s="98"/>
      <c r="G46" s="33"/>
      <c r="H46" s="97"/>
      <c r="I46" s="98"/>
    </row>
    <row r="47" customFormat="false" ht="21.75" hidden="false" customHeight="true" outlineLevel="0" collapsed="false">
      <c r="B47" s="100">
        <f aca="false">IF(C47="","",ROW()-11)</f>
      </c>
      <c r="C47" s="101"/>
      <c r="D47" s="102"/>
      <c r="E47" s="103"/>
      <c r="F47" s="103"/>
      <c r="G47" s="35"/>
      <c r="H47" s="102"/>
      <c r="I47" s="103"/>
    </row>
    <row r="48" customFormat="false" ht="21.75" hidden="false" customHeight="true" outlineLevel="0" collapsed="false">
      <c r="B48" s="43">
        <f aca="false">IF(C48="","",ROW()-11)</f>
      </c>
      <c r="C48" s="96"/>
      <c r="D48" s="97"/>
      <c r="E48" s="98"/>
      <c r="F48" s="98"/>
      <c r="G48" s="33"/>
      <c r="H48" s="97"/>
      <c r="I48" s="98"/>
    </row>
    <row r="49" customFormat="false" ht="21.75" hidden="false" customHeight="true" outlineLevel="0" collapsed="false">
      <c r="B49" s="100">
        <f aca="false">IF(C49="","",ROW()-11)</f>
      </c>
      <c r="C49" s="101"/>
      <c r="D49" s="102"/>
      <c r="E49" s="103"/>
      <c r="F49" s="103"/>
      <c r="G49" s="35"/>
      <c r="H49" s="102"/>
      <c r="I49" s="103"/>
    </row>
    <row r="50" customFormat="false" ht="21.75" hidden="false" customHeight="true" outlineLevel="0" collapsed="false">
      <c r="B50" s="43">
        <f aca="false">IF(C50="","",ROW()-11)</f>
      </c>
      <c r="C50" s="96"/>
      <c r="D50" s="97"/>
      <c r="E50" s="98"/>
      <c r="F50" s="98"/>
      <c r="G50" s="33"/>
      <c r="H50" s="97"/>
      <c r="I50" s="98"/>
    </row>
    <row r="51" customFormat="false" ht="21.75" hidden="false" customHeight="true" outlineLevel="0" collapsed="false">
      <c r="B51" s="100">
        <f aca="false">IF(C51="","",ROW()-11)</f>
      </c>
      <c r="C51" s="101"/>
      <c r="D51" s="102"/>
      <c r="E51" s="103"/>
      <c r="F51" s="103"/>
      <c r="G51" s="35"/>
      <c r="H51" s="102"/>
      <c r="I51" s="103"/>
    </row>
    <row r="52" customFormat="false" ht="21.75" hidden="false" customHeight="true" outlineLevel="0" collapsed="false">
      <c r="B52" s="43">
        <f aca="false">IF(C52="","",ROW()-11)</f>
      </c>
      <c r="C52" s="96"/>
      <c r="D52" s="97"/>
      <c r="E52" s="98"/>
      <c r="F52" s="98"/>
      <c r="G52" s="33"/>
      <c r="H52" s="97"/>
      <c r="I52" s="98"/>
    </row>
    <row r="53" customFormat="false" ht="21.75" hidden="false" customHeight="true" outlineLevel="0" collapsed="false">
      <c r="B53" s="100">
        <f aca="false">IF(C53="","",ROW()-11)</f>
      </c>
      <c r="C53" s="101"/>
      <c r="D53" s="102"/>
      <c r="E53" s="103"/>
      <c r="F53" s="103"/>
      <c r="G53" s="35"/>
      <c r="H53" s="102"/>
      <c r="I53" s="103"/>
    </row>
    <row r="54" customFormat="false" ht="21.75" hidden="false" customHeight="true" outlineLevel="0" collapsed="false">
      <c r="B54" s="43">
        <f aca="false">IF(C54="","",ROW()-11)</f>
      </c>
      <c r="C54" s="96"/>
      <c r="D54" s="97"/>
      <c r="E54" s="98"/>
      <c r="F54" s="98"/>
      <c r="G54" s="33"/>
      <c r="H54" s="97"/>
      <c r="I54" s="98"/>
    </row>
    <row r="55" customFormat="false" ht="21.75" hidden="false" customHeight="true" outlineLevel="0" collapsed="false">
      <c r="B55" s="100">
        <f aca="false">IF(C55="","",ROW()-11)</f>
      </c>
      <c r="C55" s="101"/>
      <c r="D55" s="102"/>
      <c r="E55" s="103"/>
      <c r="F55" s="103"/>
      <c r="G55" s="35"/>
      <c r="H55" s="102"/>
      <c r="I55" s="103"/>
    </row>
    <row r="56" customFormat="false" ht="21.75" hidden="false" customHeight="true" outlineLevel="0" collapsed="false">
      <c r="B56" s="43">
        <f aca="false">IF(C56="","",ROW()-11)</f>
      </c>
      <c r="C56" s="96"/>
      <c r="D56" s="97"/>
      <c r="E56" s="98"/>
      <c r="F56" s="98"/>
      <c r="G56" s="33"/>
      <c r="H56" s="97"/>
      <c r="I56" s="98"/>
    </row>
    <row r="57" customFormat="false" ht="21.75" hidden="false" customHeight="true" outlineLevel="0" collapsed="false">
      <c r="B57" s="100">
        <f aca="false">IF(C57="","",ROW()-11)</f>
      </c>
      <c r="C57" s="101"/>
      <c r="D57" s="102"/>
      <c r="E57" s="103"/>
      <c r="F57" s="103"/>
      <c r="G57" s="35"/>
      <c r="H57" s="102"/>
      <c r="I57" s="103"/>
    </row>
    <row r="58" customFormat="false" ht="21.75" hidden="false" customHeight="true" outlineLevel="0" collapsed="false">
      <c r="B58" s="43">
        <f aca="false">IF(C58="","",ROW()-11)</f>
      </c>
      <c r="C58" s="96"/>
      <c r="D58" s="97"/>
      <c r="E58" s="98"/>
      <c r="F58" s="98"/>
      <c r="G58" s="33"/>
      <c r="H58" s="97"/>
      <c r="I58" s="98"/>
    </row>
    <row r="59" customFormat="false" ht="21.75" hidden="false" customHeight="true" outlineLevel="0" collapsed="false">
      <c r="B59" s="100">
        <f aca="false">IF(C59="","",ROW()-11)</f>
      </c>
      <c r="C59" s="101"/>
      <c r="D59" s="102"/>
      <c r="E59" s="103"/>
      <c r="F59" s="103"/>
      <c r="G59" s="35"/>
      <c r="H59" s="102"/>
      <c r="I59" s="103"/>
    </row>
    <row r="60" customFormat="false" ht="21.75" hidden="false" customHeight="true" outlineLevel="0" collapsed="false">
      <c r="B60" s="43">
        <f aca="false">IF(C60="","",ROW()-11)</f>
      </c>
      <c r="C60" s="96"/>
      <c r="D60" s="97"/>
      <c r="E60" s="98"/>
      <c r="F60" s="98"/>
      <c r="G60" s="33"/>
      <c r="H60" s="97"/>
      <c r="I60" s="98"/>
    </row>
    <row r="61" customFormat="false" ht="21.75" hidden="false" customHeight="true" outlineLevel="0" collapsed="false">
      <c r="B61" s="100">
        <f aca="false">IF(C61="","",ROW()-11)</f>
      </c>
      <c r="C61" s="101"/>
      <c r="D61" s="102"/>
      <c r="E61" s="103"/>
      <c r="F61" s="103"/>
      <c r="G61" s="35"/>
      <c r="H61" s="102"/>
      <c r="I61" s="103"/>
    </row>
    <row r="62" customFormat="false" ht="30" hidden="false" customHeight="true" outlineLevel="0" collapsed="false">
      <c r="B62" t="s" s="82">
        <v>142</v>
      </c>
      <c r="C62" s="82"/>
      <c r="D62" s="82"/>
      <c r="E62" s="82"/>
      <c r="F62" s="82"/>
      <c r="G62" s="83">
        <f aca="false">SUMIFS(G12:G61,D12:D61,"pengeluaran")</f>
      </c>
      <c r="H62" s="114"/>
      <c r="I62" s="114"/>
    </row>
    <row r="64" customFormat="false" ht="15" hidden="false" customHeight="true" outlineLevel="0" collapsed="false">
      <c r="B64" t="s" s="19">
        <v>146</v>
      </c>
      <c r="C64" s="19"/>
      <c r="D64" s="19"/>
      <c r="E64" s="19"/>
      <c r="F64" s="19"/>
      <c r="G64" s="19"/>
      <c r="H64" s="19"/>
      <c r="I64" s="19"/>
    </row>
  </sheetData>
  <mergeCells count="10">
    <mergeCell ref="B2:I2"/>
    <mergeCell ref="B5:D5"/>
    <mergeCell ref="G5:H5"/>
    <mergeCell ref="B6:D6"/>
    <mergeCell ref="G6:H6"/>
    <mergeCell ref="B8:I8"/>
    <mergeCell ref="B10:I10"/>
    <mergeCell ref="B62:F62"/>
    <mergeCell ref="H62:I62"/>
    <mergeCell ref="B64:I64"/>
  </mergeCells>
  <conditionalFormatting sqref="D12:D61">
    <cfRule type="expression" priority="2" aboveAverage="0" equalAverage="0" bottom="0" percent="0" rank="0" text="" dxfId="2">
      <formula>$D12="pemasukan"</formula>
    </cfRule>
    <cfRule type="expression" priority="3" aboveAverage="0" equalAverage="0" bottom="0" percent="0" rank="0" text="" dxfId="0">
      <formula>$D12="pengeluaran"</formula>
    </cfRule>
  </conditionalFormatting>
  <conditionalFormatting sqref="G12:G61">
    <cfRule type="cellIs" priority="4" operator="greaterThan" aboveAverage="0" equalAverage="0" bottom="0" percent="0" rank="0" text="" dxfId="3">
      <formula>E$5*0.2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2">
      <c r="B2" t="s">
        <v>187</v>
      </c>
    </row>
    <row r="5">
      <c r="B5" t="s">
        <v>136</v>
      </c>
      <c r="E5">
        <v>0</v>
      </c>
      <c r="G5" t="s">
        <v>137</v>
      </c>
      <c r="I5">
        <v>0</v>
      </c>
    </row>
    <row r="6">
      <c r="B6" t="s">
        <v>138</v>
      </c>
      <c r="E6">
        <v>0</v>
      </c>
      <c r="G6" t="s">
        <v>139</v>
      </c>
      <c r="I6">
        <v>0</v>
      </c>
    </row>
    <row r="8">
      <c r="B8" t="s">
        <v>188</v>
      </c>
    </row>
    <row r="10">
      <c r="B10" t="s">
        <v>141</v>
      </c>
    </row>
    <row r="11">
      <c r="B11" t="s">
        <v>122</v>
      </c>
      <c r="C11" t="s">
        <v>123</v>
      </c>
      <c r="D11" t="s">
        <v>125</v>
      </c>
      <c r="E11" t="s">
        <v>126</v>
      </c>
      <c r="F11" t="s">
        <v>129</v>
      </c>
      <c r="G11" t="s">
        <v>127</v>
      </c>
      <c r="H11" t="s">
        <v>94</v>
      </c>
      <c r="I11" t="s">
        <v>130</v>
      </c>
    </row>
    <row r="62">
      <c r="B62" t="s">
        <v>142</v>
      </c>
      <c r="G62">
        <v>0</v>
      </c>
    </row>
    <row r="64">
      <c r="B64" t="s">
        <v>189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t="s" s="117">
        <v>147</v>
      </c>
      <c r="C2" s="117"/>
      <c r="D2" s="117"/>
      <c r="E2" s="117"/>
      <c r="F2" s="117"/>
      <c r="G2" s="117"/>
      <c r="H2" s="117"/>
      <c r="I2" s="117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  <c r="I3" s="6"/>
    </row>
    <row r="5" customFormat="false" ht="25.5" hidden="false" customHeight="true" outlineLevel="0" collapsed="false">
      <c r="B5" t="s" s="23">
        <v>136</v>
      </c>
      <c r="C5" s="23"/>
      <c r="D5" s="23"/>
      <c r="E5" s="107">
        <v>0</v>
      </c>
      <c r="G5" t="s" s="108">
        <v>137</v>
      </c>
      <c r="H5" s="108"/>
      <c r="I5" s="109">
        <f aca="false">E5-E6</f>
      </c>
    </row>
    <row r="6" customFormat="false" ht="30" hidden="false" customHeight="true" outlineLevel="0" collapsed="false">
      <c r="B6" t="s" s="110">
        <v>138</v>
      </c>
      <c r="C6" s="110"/>
      <c r="D6" s="110"/>
      <c r="E6" s="109">
        <f aca="false">SUMPRODUCT(('Cashflow Timeline'!H7:H106="renovasi")*('Cashflow Timeline'!E7:E106="pengeluaran")*'Cashflow Timeline'!G7:G106)</f>
      </c>
      <c r="G6" t="s" s="111">
        <v>139</v>
      </c>
      <c r="H6" s="111"/>
      <c r="I6" s="112">
        <f aca="false">IFERROR(E6/E5,0)</f>
      </c>
    </row>
    <row r="8" customFormat="false" ht="30" hidden="false" customHeight="true" outlineLevel="0" collapsed="false">
      <c r="B8" t="s" s="113">
        <v>148</v>
      </c>
      <c r="C8" s="113"/>
      <c r="D8" s="113"/>
      <c r="E8" s="113"/>
      <c r="F8" s="113"/>
      <c r="G8" s="113"/>
      <c r="H8" s="113"/>
      <c r="I8" s="113"/>
    </row>
    <row r="10" customFormat="false" ht="24" hidden="false" customHeight="true" outlineLevel="0" collapsed="false">
      <c r="B10" t="s" s="22">
        <v>141</v>
      </c>
      <c r="C10" s="22"/>
      <c r="D10" s="22"/>
      <c r="E10" s="22"/>
      <c r="F10" s="22"/>
      <c r="G10" s="22"/>
      <c r="H10" s="22"/>
      <c r="I10" s="22"/>
    </row>
    <row r="11" customFormat="false" ht="31.5" hidden="false" customHeight="true" outlineLevel="0" collapsed="false">
      <c r="B11" t="s" s="118">
        <v>122</v>
      </c>
      <c r="C11" t="s" s="118">
        <v>123</v>
      </c>
      <c r="D11" t="s" s="118">
        <v>125</v>
      </c>
      <c r="E11" t="s" s="118">
        <v>126</v>
      </c>
      <c r="F11" t="s" s="118">
        <v>129</v>
      </c>
      <c r="G11" t="s" s="118">
        <v>127</v>
      </c>
      <c r="H11" t="s" s="118">
        <v>94</v>
      </c>
      <c r="I11" t="s" s="118">
        <v>130</v>
      </c>
    </row>
    <row r="12" customFormat="false" ht="21.75" hidden="false" customHeight="true" outlineLevel="0" collapsed="false">
      <c r="B12" s="43">
        <f aca="false">IF(C12="","",ROW()-11)</f>
      </c>
      <c r="C12" s="96"/>
      <c r="D12" s="97"/>
      <c r="E12" s="98"/>
      <c r="F12" s="98"/>
      <c r="G12" s="33"/>
      <c r="H12" s="97"/>
      <c r="I12" s="98"/>
    </row>
    <row r="13" customFormat="false" ht="21.75" hidden="false" customHeight="true" outlineLevel="0" collapsed="false">
      <c r="B13" s="100">
        <f aca="false">IF(C13="","",ROW()-11)</f>
      </c>
      <c r="C13" s="101"/>
      <c r="D13" s="102"/>
      <c r="E13" s="103"/>
      <c r="F13" s="103"/>
      <c r="G13" s="35"/>
      <c r="H13" s="102"/>
      <c r="I13" s="103"/>
    </row>
    <row r="14" customFormat="false" ht="21.75" hidden="false" customHeight="true" outlineLevel="0" collapsed="false">
      <c r="B14" s="43">
        <f aca="false">IF(C14="","",ROW()-11)</f>
      </c>
      <c r="C14" s="96"/>
      <c r="D14" s="97"/>
      <c r="E14" s="98"/>
      <c r="F14" s="98"/>
      <c r="G14" s="33"/>
      <c r="H14" s="97"/>
      <c r="I14" s="98"/>
    </row>
    <row r="15" customFormat="false" ht="21.75" hidden="false" customHeight="true" outlineLevel="0" collapsed="false">
      <c r="B15" s="100">
        <f aca="false">IF(C15="","",ROW()-11)</f>
      </c>
      <c r="C15" s="101"/>
      <c r="D15" s="102"/>
      <c r="E15" s="103"/>
      <c r="F15" s="103"/>
      <c r="G15" s="35"/>
      <c r="H15" s="102"/>
      <c r="I15" s="103"/>
    </row>
    <row r="16" customFormat="false" ht="21.75" hidden="false" customHeight="true" outlineLevel="0" collapsed="false">
      <c r="B16" s="43">
        <f aca="false">IF(C16="","",ROW()-11)</f>
      </c>
      <c r="C16" s="96"/>
      <c r="D16" s="97"/>
      <c r="E16" s="98"/>
      <c r="F16" s="98"/>
      <c r="G16" s="33"/>
      <c r="H16" s="97"/>
      <c r="I16" s="98"/>
    </row>
    <row r="17" customFormat="false" ht="21.75" hidden="false" customHeight="true" outlineLevel="0" collapsed="false">
      <c r="B17" s="100">
        <f aca="false">IF(C17="","",ROW()-11)</f>
      </c>
      <c r="C17" s="101"/>
      <c r="D17" s="102"/>
      <c r="E17" s="103"/>
      <c r="F17" s="103"/>
      <c r="G17" s="35"/>
      <c r="H17" s="102"/>
      <c r="I17" s="103"/>
    </row>
    <row r="18" customFormat="false" ht="21.75" hidden="false" customHeight="true" outlineLevel="0" collapsed="false">
      <c r="B18" s="43">
        <f aca="false">IF(C18="","",ROW()-11)</f>
      </c>
      <c r="C18" s="96"/>
      <c r="D18" s="97"/>
      <c r="E18" s="98"/>
      <c r="F18" s="98"/>
      <c r="G18" s="33"/>
      <c r="H18" s="97"/>
      <c r="I18" s="98"/>
    </row>
    <row r="19" customFormat="false" ht="21.75" hidden="false" customHeight="true" outlineLevel="0" collapsed="false">
      <c r="B19" s="100">
        <f aca="false">IF(C19="","",ROW()-11)</f>
      </c>
      <c r="C19" s="101"/>
      <c r="D19" s="102"/>
      <c r="E19" s="103"/>
      <c r="F19" s="103"/>
      <c r="G19" s="35"/>
      <c r="H19" s="102"/>
      <c r="I19" s="103"/>
    </row>
    <row r="20" customFormat="false" ht="21.75" hidden="false" customHeight="true" outlineLevel="0" collapsed="false">
      <c r="B20" s="43">
        <f aca="false">IF(C20="","",ROW()-11)</f>
      </c>
      <c r="C20" s="96"/>
      <c r="D20" s="97"/>
      <c r="E20" s="98"/>
      <c r="F20" s="98"/>
      <c r="G20" s="33"/>
      <c r="H20" s="97"/>
      <c r="I20" s="98"/>
    </row>
    <row r="21" customFormat="false" ht="21.75" hidden="false" customHeight="true" outlineLevel="0" collapsed="false">
      <c r="B21" s="100">
        <f aca="false">IF(C21="","",ROW()-11)</f>
      </c>
      <c r="C21" s="101"/>
      <c r="D21" s="102"/>
      <c r="E21" s="103"/>
      <c r="F21" s="103"/>
      <c r="G21" s="35"/>
      <c r="H21" s="102"/>
      <c r="I21" s="103"/>
    </row>
    <row r="22" customFormat="false" ht="21.75" hidden="false" customHeight="true" outlineLevel="0" collapsed="false">
      <c r="B22" s="43">
        <f aca="false">IF(C22="","",ROW()-11)</f>
      </c>
      <c r="C22" s="96"/>
      <c r="D22" s="97"/>
      <c r="E22" s="98"/>
      <c r="F22" s="98"/>
      <c r="G22" s="33"/>
      <c r="H22" s="97"/>
      <c r="I22" s="98"/>
    </row>
    <row r="23" customFormat="false" ht="21.75" hidden="false" customHeight="true" outlineLevel="0" collapsed="false">
      <c r="B23" s="100">
        <f aca="false">IF(C23="","",ROW()-11)</f>
      </c>
      <c r="C23" s="101"/>
      <c r="D23" s="102"/>
      <c r="E23" s="103"/>
      <c r="F23" s="103"/>
      <c r="G23" s="35"/>
      <c r="H23" s="102"/>
      <c r="I23" s="103"/>
    </row>
    <row r="24" customFormat="false" ht="21.75" hidden="false" customHeight="true" outlineLevel="0" collapsed="false">
      <c r="B24" s="43">
        <f aca="false">IF(C24="","",ROW()-11)</f>
      </c>
      <c r="C24" s="96"/>
      <c r="D24" s="97"/>
      <c r="E24" s="98"/>
      <c r="F24" s="98"/>
      <c r="G24" s="33"/>
      <c r="H24" s="97"/>
      <c r="I24" s="98"/>
    </row>
    <row r="25" customFormat="false" ht="21.75" hidden="false" customHeight="true" outlineLevel="0" collapsed="false">
      <c r="B25" s="100">
        <f aca="false">IF(C25="","",ROW()-11)</f>
      </c>
      <c r="C25" s="101"/>
      <c r="D25" s="102"/>
      <c r="E25" s="103"/>
      <c r="F25" s="103"/>
      <c r="G25" s="35"/>
      <c r="H25" s="102"/>
      <c r="I25" s="103"/>
    </row>
    <row r="26" customFormat="false" ht="21.75" hidden="false" customHeight="true" outlineLevel="0" collapsed="false">
      <c r="B26" s="43">
        <f aca="false">IF(C26="","",ROW()-11)</f>
      </c>
      <c r="C26" s="96"/>
      <c r="D26" s="97"/>
      <c r="E26" s="98"/>
      <c r="F26" s="98"/>
      <c r="G26" s="33"/>
      <c r="H26" s="97"/>
      <c r="I26" s="98"/>
    </row>
    <row r="27" customFormat="false" ht="21.75" hidden="false" customHeight="true" outlineLevel="0" collapsed="false">
      <c r="B27" s="100">
        <f aca="false">IF(C27="","",ROW()-11)</f>
      </c>
      <c r="C27" s="101"/>
      <c r="D27" s="102"/>
      <c r="E27" s="103"/>
      <c r="F27" s="103"/>
      <c r="G27" s="35"/>
      <c r="H27" s="102"/>
      <c r="I27" s="103"/>
    </row>
    <row r="28" customFormat="false" ht="21.75" hidden="false" customHeight="true" outlineLevel="0" collapsed="false">
      <c r="B28" s="43">
        <f aca="false">IF(C28="","",ROW()-11)</f>
      </c>
      <c r="C28" s="96"/>
      <c r="D28" s="97"/>
      <c r="E28" s="98"/>
      <c r="F28" s="98"/>
      <c r="G28" s="33"/>
      <c r="H28" s="97"/>
      <c r="I28" s="98"/>
    </row>
    <row r="29" customFormat="false" ht="21.75" hidden="false" customHeight="true" outlineLevel="0" collapsed="false">
      <c r="B29" s="100">
        <f aca="false">IF(C29="","",ROW()-11)</f>
      </c>
      <c r="C29" s="101"/>
      <c r="D29" s="102"/>
      <c r="E29" s="103"/>
      <c r="F29" s="103"/>
      <c r="G29" s="35"/>
      <c r="H29" s="102"/>
      <c r="I29" s="103"/>
    </row>
    <row r="30" customFormat="false" ht="21.75" hidden="false" customHeight="true" outlineLevel="0" collapsed="false">
      <c r="B30" s="43">
        <f aca="false">IF(C30="","",ROW()-11)</f>
      </c>
      <c r="C30" s="96"/>
      <c r="D30" s="97"/>
      <c r="E30" s="98"/>
      <c r="F30" s="98"/>
      <c r="G30" s="33"/>
      <c r="H30" s="97"/>
      <c r="I30" s="98"/>
    </row>
    <row r="31" customFormat="false" ht="21.75" hidden="false" customHeight="true" outlineLevel="0" collapsed="false">
      <c r="B31" s="100">
        <f aca="false">IF(C31="","",ROW()-11)</f>
      </c>
      <c r="C31" s="101"/>
      <c r="D31" s="102"/>
      <c r="E31" s="103"/>
      <c r="F31" s="103"/>
      <c r="G31" s="35"/>
      <c r="H31" s="102"/>
      <c r="I31" s="103"/>
    </row>
    <row r="32" customFormat="false" ht="21.75" hidden="false" customHeight="true" outlineLevel="0" collapsed="false">
      <c r="B32" s="43">
        <f aca="false">IF(C32="","",ROW()-11)</f>
      </c>
      <c r="C32" s="96"/>
      <c r="D32" s="97"/>
      <c r="E32" s="98"/>
      <c r="F32" s="98"/>
      <c r="G32" s="33"/>
      <c r="H32" s="97"/>
      <c r="I32" s="98"/>
    </row>
    <row r="33" customFormat="false" ht="21.75" hidden="false" customHeight="true" outlineLevel="0" collapsed="false">
      <c r="B33" s="100">
        <f aca="false">IF(C33="","",ROW()-11)</f>
      </c>
      <c r="C33" s="101"/>
      <c r="D33" s="102"/>
      <c r="E33" s="103"/>
      <c r="F33" s="103"/>
      <c r="G33" s="35"/>
      <c r="H33" s="102"/>
      <c r="I33" s="103"/>
    </row>
    <row r="34" customFormat="false" ht="21.75" hidden="false" customHeight="true" outlineLevel="0" collapsed="false">
      <c r="B34" s="43">
        <f aca="false">IF(C34="","",ROW()-11)</f>
      </c>
      <c r="C34" s="96"/>
      <c r="D34" s="97"/>
      <c r="E34" s="98"/>
      <c r="F34" s="98"/>
      <c r="G34" s="33"/>
      <c r="H34" s="97"/>
      <c r="I34" s="98"/>
    </row>
    <row r="35" customFormat="false" ht="21.75" hidden="false" customHeight="true" outlineLevel="0" collapsed="false">
      <c r="B35" s="100">
        <f aca="false">IF(C35="","",ROW()-11)</f>
      </c>
      <c r="C35" s="101"/>
      <c r="D35" s="102"/>
      <c r="E35" s="103"/>
      <c r="F35" s="103"/>
      <c r="G35" s="35"/>
      <c r="H35" s="102"/>
      <c r="I35" s="103"/>
    </row>
    <row r="36" customFormat="false" ht="21.75" hidden="false" customHeight="true" outlineLevel="0" collapsed="false">
      <c r="B36" s="43">
        <f aca="false">IF(C36="","",ROW()-11)</f>
      </c>
      <c r="C36" s="96"/>
      <c r="D36" s="97"/>
      <c r="E36" s="98"/>
      <c r="F36" s="98"/>
      <c r="G36" s="33"/>
      <c r="H36" s="97"/>
      <c r="I36" s="98"/>
    </row>
    <row r="37" customFormat="false" ht="21.75" hidden="false" customHeight="true" outlineLevel="0" collapsed="false">
      <c r="B37" s="100">
        <f aca="false">IF(C37="","",ROW()-11)</f>
      </c>
      <c r="C37" s="101"/>
      <c r="D37" s="102"/>
      <c r="E37" s="103"/>
      <c r="F37" s="103"/>
      <c r="G37" s="35"/>
      <c r="H37" s="102"/>
      <c r="I37" s="103"/>
    </row>
    <row r="38" customFormat="false" ht="21.75" hidden="false" customHeight="true" outlineLevel="0" collapsed="false">
      <c r="B38" s="43">
        <f aca="false">IF(C38="","",ROW()-11)</f>
      </c>
      <c r="C38" s="96"/>
      <c r="D38" s="97"/>
      <c r="E38" s="98"/>
      <c r="F38" s="98"/>
      <c r="G38" s="33"/>
      <c r="H38" s="97"/>
      <c r="I38" s="98"/>
    </row>
    <row r="39" customFormat="false" ht="21.75" hidden="false" customHeight="true" outlineLevel="0" collapsed="false">
      <c r="B39" s="100">
        <f aca="false">IF(C39="","",ROW()-11)</f>
      </c>
      <c r="C39" s="101"/>
      <c r="D39" s="102"/>
      <c r="E39" s="103"/>
      <c r="F39" s="103"/>
      <c r="G39" s="35"/>
      <c r="H39" s="102"/>
      <c r="I39" s="103"/>
    </row>
    <row r="40" customFormat="false" ht="21.75" hidden="false" customHeight="true" outlineLevel="0" collapsed="false">
      <c r="B40" s="43">
        <f aca="false">IF(C40="","",ROW()-11)</f>
      </c>
      <c r="C40" s="96"/>
      <c r="D40" s="97"/>
      <c r="E40" s="98"/>
      <c r="F40" s="98"/>
      <c r="G40" s="33"/>
      <c r="H40" s="97"/>
      <c r="I40" s="98"/>
    </row>
    <row r="41" customFormat="false" ht="21.75" hidden="false" customHeight="true" outlineLevel="0" collapsed="false">
      <c r="B41" s="100">
        <f aca="false">IF(C41="","",ROW()-11)</f>
      </c>
      <c r="C41" s="101"/>
      <c r="D41" s="102"/>
      <c r="E41" s="103"/>
      <c r="F41" s="103"/>
      <c r="G41" s="35"/>
      <c r="H41" s="102"/>
      <c r="I41" s="103"/>
    </row>
    <row r="42" customFormat="false" ht="21.75" hidden="false" customHeight="true" outlineLevel="0" collapsed="false">
      <c r="B42" s="43">
        <f aca="false">IF(C42="","",ROW()-11)</f>
      </c>
      <c r="C42" s="96"/>
      <c r="D42" s="97"/>
      <c r="E42" s="98"/>
      <c r="F42" s="98"/>
      <c r="G42" s="33"/>
      <c r="H42" s="97"/>
      <c r="I42" s="98"/>
    </row>
    <row r="43" customFormat="false" ht="21.75" hidden="false" customHeight="true" outlineLevel="0" collapsed="false">
      <c r="B43" s="100">
        <f aca="false">IF(C43="","",ROW()-11)</f>
      </c>
      <c r="C43" s="101"/>
      <c r="D43" s="102"/>
      <c r="E43" s="103"/>
      <c r="F43" s="103"/>
      <c r="G43" s="35"/>
      <c r="H43" s="102"/>
      <c r="I43" s="103"/>
    </row>
    <row r="44" customFormat="false" ht="21.75" hidden="false" customHeight="true" outlineLevel="0" collapsed="false">
      <c r="B44" s="43">
        <f aca="false">IF(C44="","",ROW()-11)</f>
      </c>
      <c r="C44" s="96"/>
      <c r="D44" s="97"/>
      <c r="E44" s="98"/>
      <c r="F44" s="98"/>
      <c r="G44" s="33"/>
      <c r="H44" s="97"/>
      <c r="I44" s="98"/>
    </row>
    <row r="45" customFormat="false" ht="21.75" hidden="false" customHeight="true" outlineLevel="0" collapsed="false">
      <c r="B45" s="100">
        <f aca="false">IF(C45="","",ROW()-11)</f>
      </c>
      <c r="C45" s="101"/>
      <c r="D45" s="102"/>
      <c r="E45" s="103"/>
      <c r="F45" s="103"/>
      <c r="G45" s="35"/>
      <c r="H45" s="102"/>
      <c r="I45" s="103"/>
    </row>
    <row r="46" customFormat="false" ht="21.75" hidden="false" customHeight="true" outlineLevel="0" collapsed="false">
      <c r="B46" s="43">
        <f aca="false">IF(C46="","",ROW()-11)</f>
      </c>
      <c r="C46" s="96"/>
      <c r="D46" s="97"/>
      <c r="E46" s="98"/>
      <c r="F46" s="98"/>
      <c r="G46" s="33"/>
      <c r="H46" s="97"/>
      <c r="I46" s="98"/>
    </row>
    <row r="47" customFormat="false" ht="21.75" hidden="false" customHeight="true" outlineLevel="0" collapsed="false">
      <c r="B47" s="100">
        <f aca="false">IF(C47="","",ROW()-11)</f>
      </c>
      <c r="C47" s="101"/>
      <c r="D47" s="102"/>
      <c r="E47" s="103"/>
      <c r="F47" s="103"/>
      <c r="G47" s="35"/>
      <c r="H47" s="102"/>
      <c r="I47" s="103"/>
    </row>
    <row r="48" customFormat="false" ht="21.75" hidden="false" customHeight="true" outlineLevel="0" collapsed="false">
      <c r="B48" s="43">
        <f aca="false">IF(C48="","",ROW()-11)</f>
      </c>
      <c r="C48" s="96"/>
      <c r="D48" s="97"/>
      <c r="E48" s="98"/>
      <c r="F48" s="98"/>
      <c r="G48" s="33"/>
      <c r="H48" s="97"/>
      <c r="I48" s="98"/>
    </row>
    <row r="49" customFormat="false" ht="21.75" hidden="false" customHeight="true" outlineLevel="0" collapsed="false">
      <c r="B49" s="100">
        <f aca="false">IF(C49="","",ROW()-11)</f>
      </c>
      <c r="C49" s="101"/>
      <c r="D49" s="102"/>
      <c r="E49" s="103"/>
      <c r="F49" s="103"/>
      <c r="G49" s="35"/>
      <c r="H49" s="102"/>
      <c r="I49" s="103"/>
    </row>
    <row r="50" customFormat="false" ht="21.75" hidden="false" customHeight="true" outlineLevel="0" collapsed="false">
      <c r="B50" s="43">
        <f aca="false">IF(C50="","",ROW()-11)</f>
      </c>
      <c r="C50" s="96"/>
      <c r="D50" s="97"/>
      <c r="E50" s="98"/>
      <c r="F50" s="98"/>
      <c r="G50" s="33"/>
      <c r="H50" s="97"/>
      <c r="I50" s="98"/>
    </row>
    <row r="51" customFormat="false" ht="21.75" hidden="false" customHeight="true" outlineLevel="0" collapsed="false">
      <c r="B51" s="100">
        <f aca="false">IF(C51="","",ROW()-11)</f>
      </c>
      <c r="C51" s="101"/>
      <c r="D51" s="102"/>
      <c r="E51" s="103"/>
      <c r="F51" s="103"/>
      <c r="G51" s="35"/>
      <c r="H51" s="102"/>
      <c r="I51" s="103"/>
    </row>
    <row r="52" customFormat="false" ht="21.75" hidden="false" customHeight="true" outlineLevel="0" collapsed="false">
      <c r="B52" s="43">
        <f aca="false">IF(C52="","",ROW()-11)</f>
      </c>
      <c r="C52" s="96"/>
      <c r="D52" s="97"/>
      <c r="E52" s="98"/>
      <c r="F52" s="98"/>
      <c r="G52" s="33"/>
      <c r="H52" s="97"/>
      <c r="I52" s="98"/>
    </row>
    <row r="53" customFormat="false" ht="21.75" hidden="false" customHeight="true" outlineLevel="0" collapsed="false">
      <c r="B53" s="100">
        <f aca="false">IF(C53="","",ROW()-11)</f>
      </c>
      <c r="C53" s="101"/>
      <c r="D53" s="102"/>
      <c r="E53" s="103"/>
      <c r="F53" s="103"/>
      <c r="G53" s="35"/>
      <c r="H53" s="102"/>
      <c r="I53" s="103"/>
    </row>
    <row r="54" customFormat="false" ht="21.75" hidden="false" customHeight="true" outlineLevel="0" collapsed="false">
      <c r="B54" s="43">
        <f aca="false">IF(C54="","",ROW()-11)</f>
      </c>
      <c r="C54" s="96"/>
      <c r="D54" s="97"/>
      <c r="E54" s="98"/>
      <c r="F54" s="98"/>
      <c r="G54" s="33"/>
      <c r="H54" s="97"/>
      <c r="I54" s="98"/>
    </row>
    <row r="55" customFormat="false" ht="21.75" hidden="false" customHeight="true" outlineLevel="0" collapsed="false">
      <c r="B55" s="100">
        <f aca="false">IF(C55="","",ROW()-11)</f>
      </c>
      <c r="C55" s="101"/>
      <c r="D55" s="102"/>
      <c r="E55" s="103"/>
      <c r="F55" s="103"/>
      <c r="G55" s="35"/>
      <c r="H55" s="102"/>
      <c r="I55" s="103"/>
    </row>
    <row r="56" customFormat="false" ht="21.75" hidden="false" customHeight="true" outlineLevel="0" collapsed="false">
      <c r="B56" s="43">
        <f aca="false">IF(C56="","",ROW()-11)</f>
      </c>
      <c r="C56" s="96"/>
      <c r="D56" s="97"/>
      <c r="E56" s="98"/>
      <c r="F56" s="98"/>
      <c r="G56" s="33"/>
      <c r="H56" s="97"/>
      <c r="I56" s="98"/>
    </row>
    <row r="57" customFormat="false" ht="21.75" hidden="false" customHeight="true" outlineLevel="0" collapsed="false">
      <c r="B57" s="100">
        <f aca="false">IF(C57="","",ROW()-11)</f>
      </c>
      <c r="C57" s="101"/>
      <c r="D57" s="102"/>
      <c r="E57" s="103"/>
      <c r="F57" s="103"/>
      <c r="G57" s="35"/>
      <c r="H57" s="102"/>
      <c r="I57" s="103"/>
    </row>
    <row r="58" customFormat="false" ht="21.75" hidden="false" customHeight="true" outlineLevel="0" collapsed="false">
      <c r="B58" s="43">
        <f aca="false">IF(C58="","",ROW()-11)</f>
      </c>
      <c r="C58" s="96"/>
      <c r="D58" s="97"/>
      <c r="E58" s="98"/>
      <c r="F58" s="98"/>
      <c r="G58" s="33"/>
      <c r="H58" s="97"/>
      <c r="I58" s="98"/>
    </row>
    <row r="59" customFormat="false" ht="21.75" hidden="false" customHeight="true" outlineLevel="0" collapsed="false">
      <c r="B59" s="100">
        <f aca="false">IF(C59="","",ROW()-11)</f>
      </c>
      <c r="C59" s="101"/>
      <c r="D59" s="102"/>
      <c r="E59" s="103"/>
      <c r="F59" s="103"/>
      <c r="G59" s="35"/>
      <c r="H59" s="102"/>
      <c r="I59" s="103"/>
    </row>
    <row r="60" customFormat="false" ht="21.75" hidden="false" customHeight="true" outlineLevel="0" collapsed="false">
      <c r="B60" s="43">
        <f aca="false">IF(C60="","",ROW()-11)</f>
      </c>
      <c r="C60" s="96"/>
      <c r="D60" s="97"/>
      <c r="E60" s="98"/>
      <c r="F60" s="98"/>
      <c r="G60" s="33"/>
      <c r="H60" s="97"/>
      <c r="I60" s="98"/>
    </row>
    <row r="61" customFormat="false" ht="21.75" hidden="false" customHeight="true" outlineLevel="0" collapsed="false">
      <c r="B61" s="100">
        <f aca="false">IF(C61="","",ROW()-11)</f>
      </c>
      <c r="C61" s="101"/>
      <c r="D61" s="102"/>
      <c r="E61" s="103"/>
      <c r="F61" s="103"/>
      <c r="G61" s="35"/>
      <c r="H61" s="102"/>
      <c r="I61" s="103"/>
    </row>
    <row r="62" customFormat="false" ht="30" hidden="false" customHeight="true" outlineLevel="0" collapsed="false">
      <c r="B62" t="s" s="82">
        <v>142</v>
      </c>
      <c r="C62" s="82"/>
      <c r="D62" s="82"/>
      <c r="E62" s="82"/>
      <c r="F62" s="82"/>
      <c r="G62" s="83">
        <f aca="false">SUMIFS(G12:G61,D12:D61,"pengeluaran")</f>
      </c>
      <c r="H62" s="114"/>
      <c r="I62" s="114"/>
    </row>
    <row r="64" customFormat="false" ht="15" hidden="false" customHeight="true" outlineLevel="0" collapsed="false">
      <c r="B64" t="s" s="19">
        <v>149</v>
      </c>
      <c r="C64" s="19"/>
      <c r="D64" s="19"/>
      <c r="E64" s="19"/>
      <c r="F64" s="19"/>
      <c r="G64" s="19"/>
      <c r="H64" s="19"/>
      <c r="I64" s="19"/>
    </row>
  </sheetData>
  <mergeCells count="10">
    <mergeCell ref="B2:I2"/>
    <mergeCell ref="B5:D5"/>
    <mergeCell ref="G5:H5"/>
    <mergeCell ref="B6:D6"/>
    <mergeCell ref="G6:H6"/>
    <mergeCell ref="B8:I8"/>
    <mergeCell ref="B10:I10"/>
    <mergeCell ref="B62:F62"/>
    <mergeCell ref="H62:I62"/>
    <mergeCell ref="B64:I64"/>
  </mergeCells>
  <conditionalFormatting sqref="D12:D61">
    <cfRule type="expression" priority="2" aboveAverage="0" equalAverage="0" bottom="0" percent="0" rank="0" text="" dxfId="2">
      <formula>$D12="pemasukan"</formula>
    </cfRule>
    <cfRule type="expression" priority="3" aboveAverage="0" equalAverage="0" bottom="0" percent="0" rank="0" text="" dxfId="0">
      <formula>$D12="pengeluaran"</formula>
    </cfRule>
  </conditionalFormatting>
  <conditionalFormatting sqref="G12:G61">
    <cfRule type="cellIs" priority="4" operator="greaterThan" aboveAverage="0" equalAverage="0" bottom="0" percent="0" rank="0" text="" dxfId="3">
      <formula>E$5*0.2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t="s" s="119">
        <v>150</v>
      </c>
      <c r="C2" s="119"/>
      <c r="D2" s="119"/>
      <c r="E2" s="119"/>
      <c r="F2" s="119"/>
      <c r="G2" s="119"/>
      <c r="H2" s="119"/>
      <c r="I2" s="119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  <c r="I3" s="6"/>
    </row>
    <row r="5" customFormat="false" ht="25.5" hidden="false" customHeight="true" outlineLevel="0" collapsed="false">
      <c r="B5" t="s" s="23">
        <v>136</v>
      </c>
      <c r="C5" s="23"/>
      <c r="D5" s="23"/>
      <c r="E5" s="107">
        <v>0</v>
      </c>
      <c r="G5" t="s" s="108">
        <v>137</v>
      </c>
      <c r="H5" s="108"/>
      <c r="I5" s="109">
        <f aca="false">E5-E6</f>
      </c>
    </row>
    <row r="6" customFormat="false" ht="30" hidden="false" customHeight="true" outlineLevel="0" collapsed="false">
      <c r="B6" t="s" s="110">
        <v>138</v>
      </c>
      <c r="C6" s="110"/>
      <c r="D6" s="110"/>
      <c r="E6" s="109">
        <f aca="false">SUMPRODUCT(('Cashflow Timeline'!H7:H106="cadangan")*('Cashflow Timeline'!E7:E106="pengeluaran")*'Cashflow Timeline'!G7:G106)</f>
      </c>
      <c r="G6" t="s" s="111">
        <v>139</v>
      </c>
      <c r="H6" s="111"/>
      <c r="I6" s="112">
        <f aca="false">IFERROR(E6/E5,0)</f>
      </c>
    </row>
    <row r="8" customFormat="false" ht="30" hidden="false" customHeight="true" outlineLevel="0" collapsed="false">
      <c r="B8" t="s" s="113">
        <v>151</v>
      </c>
      <c r="C8" s="113"/>
      <c r="D8" s="113"/>
      <c r="E8" s="113"/>
      <c r="F8" s="113"/>
      <c r="G8" s="113"/>
      <c r="H8" s="113"/>
      <c r="I8" s="113"/>
    </row>
    <row r="10" customFormat="false" ht="24" hidden="false" customHeight="true" outlineLevel="0" collapsed="false">
      <c r="B10" t="s" s="22">
        <v>141</v>
      </c>
      <c r="C10" s="22"/>
      <c r="D10" s="22"/>
      <c r="E10" s="22"/>
      <c r="F10" s="22"/>
      <c r="G10" s="22"/>
      <c r="H10" s="22"/>
      <c r="I10" s="22"/>
    </row>
    <row r="11" customFormat="false" ht="31.5" hidden="false" customHeight="true" outlineLevel="0" collapsed="false">
      <c r="B11" t="s" s="108">
        <v>122</v>
      </c>
      <c r="C11" t="s" s="108">
        <v>123</v>
      </c>
      <c r="D11" t="s" s="108">
        <v>125</v>
      </c>
      <c r="E11" t="s" s="108">
        <v>126</v>
      </c>
      <c r="F11" t="s" s="108">
        <v>129</v>
      </c>
      <c r="G11" t="s" s="108">
        <v>127</v>
      </c>
      <c r="H11" t="s" s="108">
        <v>94</v>
      </c>
      <c r="I11" t="s" s="108">
        <v>130</v>
      </c>
    </row>
    <row r="12" customFormat="false" ht="21.75" hidden="false" customHeight="true" outlineLevel="0" collapsed="false">
      <c r="B12" s="43">
        <f aca="false">IF(C12="","",ROW()-11)</f>
      </c>
      <c r="C12" s="96"/>
      <c r="D12" s="97"/>
      <c r="E12" s="98"/>
      <c r="F12" s="98"/>
      <c r="G12" s="33"/>
      <c r="H12" s="97"/>
      <c r="I12" s="98"/>
    </row>
    <row r="13" customFormat="false" ht="21.75" hidden="false" customHeight="true" outlineLevel="0" collapsed="false">
      <c r="B13" s="100">
        <f aca="false">IF(C13="","",ROW()-11)</f>
      </c>
      <c r="C13" s="101"/>
      <c r="D13" s="102"/>
      <c r="E13" s="103"/>
      <c r="F13" s="103"/>
      <c r="G13" s="35"/>
      <c r="H13" s="102"/>
      <c r="I13" s="103"/>
    </row>
    <row r="14" customFormat="false" ht="21.75" hidden="false" customHeight="true" outlineLevel="0" collapsed="false">
      <c r="B14" s="43">
        <f aca="false">IF(C14="","",ROW()-11)</f>
      </c>
      <c r="C14" s="96"/>
      <c r="D14" s="97"/>
      <c r="E14" s="98"/>
      <c r="F14" s="98"/>
      <c r="G14" s="33"/>
      <c r="H14" s="97"/>
      <c r="I14" s="98"/>
    </row>
    <row r="15" customFormat="false" ht="21.75" hidden="false" customHeight="true" outlineLevel="0" collapsed="false">
      <c r="B15" s="100">
        <f aca="false">IF(C15="","",ROW()-11)</f>
      </c>
      <c r="C15" s="101"/>
      <c r="D15" s="102"/>
      <c r="E15" s="103"/>
      <c r="F15" s="103"/>
      <c r="G15" s="35"/>
      <c r="H15" s="102"/>
      <c r="I15" s="103"/>
    </row>
    <row r="16" customFormat="false" ht="21.75" hidden="false" customHeight="true" outlineLevel="0" collapsed="false">
      <c r="B16" s="43">
        <f aca="false">IF(C16="","",ROW()-11)</f>
      </c>
      <c r="C16" s="96"/>
      <c r="D16" s="97"/>
      <c r="E16" s="98"/>
      <c r="F16" s="98"/>
      <c r="G16" s="33"/>
      <c r="H16" s="97"/>
      <c r="I16" s="98"/>
    </row>
    <row r="17" customFormat="false" ht="21.75" hidden="false" customHeight="true" outlineLevel="0" collapsed="false">
      <c r="B17" s="100">
        <f aca="false">IF(C17="","",ROW()-11)</f>
      </c>
      <c r="C17" s="101"/>
      <c r="D17" s="102"/>
      <c r="E17" s="103"/>
      <c r="F17" s="103"/>
      <c r="G17" s="35"/>
      <c r="H17" s="102"/>
      <c r="I17" s="103"/>
    </row>
    <row r="18" customFormat="false" ht="21.75" hidden="false" customHeight="true" outlineLevel="0" collapsed="false">
      <c r="B18" s="43">
        <f aca="false">IF(C18="","",ROW()-11)</f>
      </c>
      <c r="C18" s="96"/>
      <c r="D18" s="97"/>
      <c r="E18" s="98"/>
      <c r="F18" s="98"/>
      <c r="G18" s="33"/>
      <c r="H18" s="97"/>
      <c r="I18" s="98"/>
    </row>
    <row r="19" customFormat="false" ht="21.75" hidden="false" customHeight="true" outlineLevel="0" collapsed="false">
      <c r="B19" s="100">
        <f aca="false">IF(C19="","",ROW()-11)</f>
      </c>
      <c r="C19" s="101"/>
      <c r="D19" s="102"/>
      <c r="E19" s="103"/>
      <c r="F19" s="103"/>
      <c r="G19" s="35"/>
      <c r="H19" s="102"/>
      <c r="I19" s="103"/>
    </row>
    <row r="20" customFormat="false" ht="21.75" hidden="false" customHeight="true" outlineLevel="0" collapsed="false">
      <c r="B20" s="43">
        <f aca="false">IF(C20="","",ROW()-11)</f>
      </c>
      <c r="C20" s="96"/>
      <c r="D20" s="97"/>
      <c r="E20" s="98"/>
      <c r="F20" s="98"/>
      <c r="G20" s="33"/>
      <c r="H20" s="97"/>
      <c r="I20" s="98"/>
    </row>
    <row r="21" customFormat="false" ht="21.75" hidden="false" customHeight="true" outlineLevel="0" collapsed="false">
      <c r="B21" s="100">
        <f aca="false">IF(C21="","",ROW()-11)</f>
      </c>
      <c r="C21" s="101"/>
      <c r="D21" s="102"/>
      <c r="E21" s="103"/>
      <c r="F21" s="103"/>
      <c r="G21" s="35"/>
      <c r="H21" s="102"/>
      <c r="I21" s="103"/>
    </row>
    <row r="22" customFormat="false" ht="21.75" hidden="false" customHeight="true" outlineLevel="0" collapsed="false">
      <c r="B22" s="43">
        <f aca="false">IF(C22="","",ROW()-11)</f>
      </c>
      <c r="C22" s="96"/>
      <c r="D22" s="97"/>
      <c r="E22" s="98"/>
      <c r="F22" s="98"/>
      <c r="G22" s="33"/>
      <c r="H22" s="97"/>
      <c r="I22" s="98"/>
    </row>
    <row r="23" customFormat="false" ht="21.75" hidden="false" customHeight="true" outlineLevel="0" collapsed="false">
      <c r="B23" s="100">
        <f aca="false">IF(C23="","",ROW()-11)</f>
      </c>
      <c r="C23" s="101"/>
      <c r="D23" s="102"/>
      <c r="E23" s="103"/>
      <c r="F23" s="103"/>
      <c r="G23" s="35"/>
      <c r="H23" s="102"/>
      <c r="I23" s="103"/>
    </row>
    <row r="24" customFormat="false" ht="21.75" hidden="false" customHeight="true" outlineLevel="0" collapsed="false">
      <c r="B24" s="43">
        <f aca="false">IF(C24="","",ROW()-11)</f>
      </c>
      <c r="C24" s="96"/>
      <c r="D24" s="97"/>
      <c r="E24" s="98"/>
      <c r="F24" s="98"/>
      <c r="G24" s="33"/>
      <c r="H24" s="97"/>
      <c r="I24" s="98"/>
    </row>
    <row r="25" customFormat="false" ht="21.75" hidden="false" customHeight="true" outlineLevel="0" collapsed="false">
      <c r="B25" s="100">
        <f aca="false">IF(C25="","",ROW()-11)</f>
      </c>
      <c r="C25" s="101"/>
      <c r="D25" s="102"/>
      <c r="E25" s="103"/>
      <c r="F25" s="103"/>
      <c r="G25" s="35"/>
      <c r="H25" s="102"/>
      <c r="I25" s="103"/>
    </row>
    <row r="26" customFormat="false" ht="21.75" hidden="false" customHeight="true" outlineLevel="0" collapsed="false">
      <c r="B26" s="43">
        <f aca="false">IF(C26="","",ROW()-11)</f>
      </c>
      <c r="C26" s="96"/>
      <c r="D26" s="97"/>
      <c r="E26" s="98"/>
      <c r="F26" s="98"/>
      <c r="G26" s="33"/>
      <c r="H26" s="97"/>
      <c r="I26" s="98"/>
    </row>
    <row r="27" customFormat="false" ht="21.75" hidden="false" customHeight="true" outlineLevel="0" collapsed="false">
      <c r="B27" s="100">
        <f aca="false">IF(C27="","",ROW()-11)</f>
      </c>
      <c r="C27" s="101"/>
      <c r="D27" s="102"/>
      <c r="E27" s="103"/>
      <c r="F27" s="103"/>
      <c r="G27" s="35"/>
      <c r="H27" s="102"/>
      <c r="I27" s="103"/>
    </row>
    <row r="28" customFormat="false" ht="21.75" hidden="false" customHeight="true" outlineLevel="0" collapsed="false">
      <c r="B28" s="43">
        <f aca="false">IF(C28="","",ROW()-11)</f>
      </c>
      <c r="C28" s="96"/>
      <c r="D28" s="97"/>
      <c r="E28" s="98"/>
      <c r="F28" s="98"/>
      <c r="G28" s="33"/>
      <c r="H28" s="97"/>
      <c r="I28" s="98"/>
    </row>
    <row r="29" customFormat="false" ht="21.75" hidden="false" customHeight="true" outlineLevel="0" collapsed="false">
      <c r="B29" s="100">
        <f aca="false">IF(C29="","",ROW()-11)</f>
      </c>
      <c r="C29" s="101"/>
      <c r="D29" s="102"/>
      <c r="E29" s="103"/>
      <c r="F29" s="103"/>
      <c r="G29" s="35"/>
      <c r="H29" s="102"/>
      <c r="I29" s="103"/>
    </row>
    <row r="30" customFormat="false" ht="21.75" hidden="false" customHeight="true" outlineLevel="0" collapsed="false">
      <c r="B30" s="43">
        <f aca="false">IF(C30="","",ROW()-11)</f>
      </c>
      <c r="C30" s="96"/>
      <c r="D30" s="97"/>
      <c r="E30" s="98"/>
      <c r="F30" s="98"/>
      <c r="G30" s="33"/>
      <c r="H30" s="97"/>
      <c r="I30" s="98"/>
    </row>
    <row r="31" customFormat="false" ht="21.75" hidden="false" customHeight="true" outlineLevel="0" collapsed="false">
      <c r="B31" s="100">
        <f aca="false">IF(C31="","",ROW()-11)</f>
      </c>
      <c r="C31" s="101"/>
      <c r="D31" s="102"/>
      <c r="E31" s="103"/>
      <c r="F31" s="103"/>
      <c r="G31" s="35"/>
      <c r="H31" s="102"/>
      <c r="I31" s="103"/>
    </row>
    <row r="32" customFormat="false" ht="21.75" hidden="false" customHeight="true" outlineLevel="0" collapsed="false">
      <c r="B32" s="43">
        <f aca="false">IF(C32="","",ROW()-11)</f>
      </c>
      <c r="C32" s="96"/>
      <c r="D32" s="97"/>
      <c r="E32" s="98"/>
      <c r="F32" s="98"/>
      <c r="G32" s="33"/>
      <c r="H32" s="97"/>
      <c r="I32" s="98"/>
    </row>
    <row r="33" customFormat="false" ht="21.75" hidden="false" customHeight="true" outlineLevel="0" collapsed="false">
      <c r="B33" s="100">
        <f aca="false">IF(C33="","",ROW()-11)</f>
      </c>
      <c r="C33" s="101"/>
      <c r="D33" s="102"/>
      <c r="E33" s="103"/>
      <c r="F33" s="103"/>
      <c r="G33" s="35"/>
      <c r="H33" s="102"/>
      <c r="I33" s="103"/>
    </row>
    <row r="34" customFormat="false" ht="21.75" hidden="false" customHeight="true" outlineLevel="0" collapsed="false">
      <c r="B34" s="43">
        <f aca="false">IF(C34="","",ROW()-11)</f>
      </c>
      <c r="C34" s="96"/>
      <c r="D34" s="97"/>
      <c r="E34" s="98"/>
      <c r="F34" s="98"/>
      <c r="G34" s="33"/>
      <c r="H34" s="97"/>
      <c r="I34" s="98"/>
    </row>
    <row r="35" customFormat="false" ht="21.75" hidden="false" customHeight="true" outlineLevel="0" collapsed="false">
      <c r="B35" s="100">
        <f aca="false">IF(C35="","",ROW()-11)</f>
      </c>
      <c r="C35" s="101"/>
      <c r="D35" s="102"/>
      <c r="E35" s="103"/>
      <c r="F35" s="103"/>
      <c r="G35" s="35"/>
      <c r="H35" s="102"/>
      <c r="I35" s="103"/>
    </row>
    <row r="36" customFormat="false" ht="21.75" hidden="false" customHeight="true" outlineLevel="0" collapsed="false">
      <c r="B36" s="43">
        <f aca="false">IF(C36="","",ROW()-11)</f>
      </c>
      <c r="C36" s="96"/>
      <c r="D36" s="97"/>
      <c r="E36" s="98"/>
      <c r="F36" s="98"/>
      <c r="G36" s="33"/>
      <c r="H36" s="97"/>
      <c r="I36" s="98"/>
    </row>
    <row r="37" customFormat="false" ht="21.75" hidden="false" customHeight="true" outlineLevel="0" collapsed="false">
      <c r="B37" s="100">
        <f aca="false">IF(C37="","",ROW()-11)</f>
      </c>
      <c r="C37" s="101"/>
      <c r="D37" s="102"/>
      <c r="E37" s="103"/>
      <c r="F37" s="103"/>
      <c r="G37" s="35"/>
      <c r="H37" s="102"/>
      <c r="I37" s="103"/>
    </row>
    <row r="38" customFormat="false" ht="21.75" hidden="false" customHeight="true" outlineLevel="0" collapsed="false">
      <c r="B38" s="43">
        <f aca="false">IF(C38="","",ROW()-11)</f>
      </c>
      <c r="C38" s="96"/>
      <c r="D38" s="97"/>
      <c r="E38" s="98"/>
      <c r="F38" s="98"/>
      <c r="G38" s="33"/>
      <c r="H38" s="97"/>
      <c r="I38" s="98"/>
    </row>
    <row r="39" customFormat="false" ht="21.75" hidden="false" customHeight="true" outlineLevel="0" collapsed="false">
      <c r="B39" s="100">
        <f aca="false">IF(C39="","",ROW()-11)</f>
      </c>
      <c r="C39" s="101"/>
      <c r="D39" s="102"/>
      <c r="E39" s="103"/>
      <c r="F39" s="103"/>
      <c r="G39" s="35"/>
      <c r="H39" s="102"/>
      <c r="I39" s="103"/>
    </row>
    <row r="40" customFormat="false" ht="21.75" hidden="false" customHeight="true" outlineLevel="0" collapsed="false">
      <c r="B40" s="43">
        <f aca="false">IF(C40="","",ROW()-11)</f>
      </c>
      <c r="C40" s="96"/>
      <c r="D40" s="97"/>
      <c r="E40" s="98"/>
      <c r="F40" s="98"/>
      <c r="G40" s="33"/>
      <c r="H40" s="97"/>
      <c r="I40" s="98"/>
    </row>
    <row r="41" customFormat="false" ht="21.75" hidden="false" customHeight="true" outlineLevel="0" collapsed="false">
      <c r="B41" s="100">
        <f aca="false">IF(C41="","",ROW()-11)</f>
      </c>
      <c r="C41" s="101"/>
      <c r="D41" s="102"/>
      <c r="E41" s="103"/>
      <c r="F41" s="103"/>
      <c r="G41" s="35"/>
      <c r="H41" s="102"/>
      <c r="I41" s="103"/>
    </row>
    <row r="42" customFormat="false" ht="21.75" hidden="false" customHeight="true" outlineLevel="0" collapsed="false">
      <c r="B42" s="43">
        <f aca="false">IF(C42="","",ROW()-11)</f>
      </c>
      <c r="C42" s="96"/>
      <c r="D42" s="97"/>
      <c r="E42" s="98"/>
      <c r="F42" s="98"/>
      <c r="G42" s="33"/>
      <c r="H42" s="97"/>
      <c r="I42" s="98"/>
    </row>
    <row r="43" customFormat="false" ht="21.75" hidden="false" customHeight="true" outlineLevel="0" collapsed="false">
      <c r="B43" s="100">
        <f aca="false">IF(C43="","",ROW()-11)</f>
      </c>
      <c r="C43" s="101"/>
      <c r="D43" s="102"/>
      <c r="E43" s="103"/>
      <c r="F43" s="103"/>
      <c r="G43" s="35"/>
      <c r="H43" s="102"/>
      <c r="I43" s="103"/>
    </row>
    <row r="44" customFormat="false" ht="21.75" hidden="false" customHeight="true" outlineLevel="0" collapsed="false">
      <c r="B44" s="43">
        <f aca="false">IF(C44="","",ROW()-11)</f>
      </c>
      <c r="C44" s="96"/>
      <c r="D44" s="97"/>
      <c r="E44" s="98"/>
      <c r="F44" s="98"/>
      <c r="G44" s="33"/>
      <c r="H44" s="97"/>
      <c r="I44" s="98"/>
    </row>
    <row r="45" customFormat="false" ht="21.75" hidden="false" customHeight="true" outlineLevel="0" collapsed="false">
      <c r="B45" s="100">
        <f aca="false">IF(C45="","",ROW()-11)</f>
      </c>
      <c r="C45" s="101"/>
      <c r="D45" s="102"/>
      <c r="E45" s="103"/>
      <c r="F45" s="103"/>
      <c r="G45" s="35"/>
      <c r="H45" s="102"/>
      <c r="I45" s="103"/>
    </row>
    <row r="46" customFormat="false" ht="21.75" hidden="false" customHeight="true" outlineLevel="0" collapsed="false">
      <c r="B46" s="43">
        <f aca="false">IF(C46="","",ROW()-11)</f>
      </c>
      <c r="C46" s="96"/>
      <c r="D46" s="97"/>
      <c r="E46" s="98"/>
      <c r="F46" s="98"/>
      <c r="G46" s="33"/>
      <c r="H46" s="97"/>
      <c r="I46" s="98"/>
    </row>
    <row r="47" customFormat="false" ht="21.75" hidden="false" customHeight="true" outlineLevel="0" collapsed="false">
      <c r="B47" s="100">
        <f aca="false">IF(C47="","",ROW()-11)</f>
      </c>
      <c r="C47" s="101"/>
      <c r="D47" s="102"/>
      <c r="E47" s="103"/>
      <c r="F47" s="103"/>
      <c r="G47" s="35"/>
      <c r="H47" s="102"/>
      <c r="I47" s="103"/>
    </row>
    <row r="48" customFormat="false" ht="21.75" hidden="false" customHeight="true" outlineLevel="0" collapsed="false">
      <c r="B48" s="43">
        <f aca="false">IF(C48="","",ROW()-11)</f>
      </c>
      <c r="C48" s="96"/>
      <c r="D48" s="97"/>
      <c r="E48" s="98"/>
      <c r="F48" s="98"/>
      <c r="G48" s="33"/>
      <c r="H48" s="97"/>
      <c r="I48" s="98"/>
    </row>
    <row r="49" customFormat="false" ht="21.75" hidden="false" customHeight="true" outlineLevel="0" collapsed="false">
      <c r="B49" s="100">
        <f aca="false">IF(C49="","",ROW()-11)</f>
      </c>
      <c r="C49" s="101"/>
      <c r="D49" s="102"/>
      <c r="E49" s="103"/>
      <c r="F49" s="103"/>
      <c r="G49" s="35"/>
      <c r="H49" s="102"/>
      <c r="I49" s="103"/>
    </row>
    <row r="50" customFormat="false" ht="21.75" hidden="false" customHeight="true" outlineLevel="0" collapsed="false">
      <c r="B50" s="43">
        <f aca="false">IF(C50="","",ROW()-11)</f>
      </c>
      <c r="C50" s="96"/>
      <c r="D50" s="97"/>
      <c r="E50" s="98"/>
      <c r="F50" s="98"/>
      <c r="G50" s="33"/>
      <c r="H50" s="97"/>
      <c r="I50" s="98"/>
    </row>
    <row r="51" customFormat="false" ht="21.75" hidden="false" customHeight="true" outlineLevel="0" collapsed="false">
      <c r="B51" s="100">
        <f aca="false">IF(C51="","",ROW()-11)</f>
      </c>
      <c r="C51" s="101"/>
      <c r="D51" s="102"/>
      <c r="E51" s="103"/>
      <c r="F51" s="103"/>
      <c r="G51" s="35"/>
      <c r="H51" s="102"/>
      <c r="I51" s="103"/>
    </row>
    <row r="52" customFormat="false" ht="21.75" hidden="false" customHeight="true" outlineLevel="0" collapsed="false">
      <c r="B52" s="43">
        <f aca="false">IF(C52="","",ROW()-11)</f>
      </c>
      <c r="C52" s="96"/>
      <c r="D52" s="97"/>
      <c r="E52" s="98"/>
      <c r="F52" s="98"/>
      <c r="G52" s="33"/>
      <c r="H52" s="97"/>
      <c r="I52" s="98"/>
    </row>
    <row r="53" customFormat="false" ht="21.75" hidden="false" customHeight="true" outlineLevel="0" collapsed="false">
      <c r="B53" s="100">
        <f aca="false">IF(C53="","",ROW()-11)</f>
      </c>
      <c r="C53" s="101"/>
      <c r="D53" s="102"/>
      <c r="E53" s="103"/>
      <c r="F53" s="103"/>
      <c r="G53" s="35"/>
      <c r="H53" s="102"/>
      <c r="I53" s="103"/>
    </row>
    <row r="54" customFormat="false" ht="21.75" hidden="false" customHeight="true" outlineLevel="0" collapsed="false">
      <c r="B54" s="43">
        <f aca="false">IF(C54="","",ROW()-11)</f>
      </c>
      <c r="C54" s="96"/>
      <c r="D54" s="97"/>
      <c r="E54" s="98"/>
      <c r="F54" s="98"/>
      <c r="G54" s="33"/>
      <c r="H54" s="97"/>
      <c r="I54" s="98"/>
    </row>
    <row r="55" customFormat="false" ht="21.75" hidden="false" customHeight="true" outlineLevel="0" collapsed="false">
      <c r="B55" s="100">
        <f aca="false">IF(C55="","",ROW()-11)</f>
      </c>
      <c r="C55" s="101"/>
      <c r="D55" s="102"/>
      <c r="E55" s="103"/>
      <c r="F55" s="103"/>
      <c r="G55" s="35"/>
      <c r="H55" s="102"/>
      <c r="I55" s="103"/>
    </row>
    <row r="56" customFormat="false" ht="21.75" hidden="false" customHeight="true" outlineLevel="0" collapsed="false">
      <c r="B56" s="43">
        <f aca="false">IF(C56="","",ROW()-11)</f>
      </c>
      <c r="C56" s="96"/>
      <c r="D56" s="97"/>
      <c r="E56" s="98"/>
      <c r="F56" s="98"/>
      <c r="G56" s="33"/>
      <c r="H56" s="97"/>
      <c r="I56" s="98"/>
    </row>
    <row r="57" customFormat="false" ht="21.75" hidden="false" customHeight="true" outlineLevel="0" collapsed="false">
      <c r="B57" s="100">
        <f aca="false">IF(C57="","",ROW()-11)</f>
      </c>
      <c r="C57" s="101"/>
      <c r="D57" s="102"/>
      <c r="E57" s="103"/>
      <c r="F57" s="103"/>
      <c r="G57" s="35"/>
      <c r="H57" s="102"/>
      <c r="I57" s="103"/>
    </row>
    <row r="58" customFormat="false" ht="21.75" hidden="false" customHeight="true" outlineLevel="0" collapsed="false">
      <c r="B58" s="43">
        <f aca="false">IF(C58="","",ROW()-11)</f>
      </c>
      <c r="C58" s="96"/>
      <c r="D58" s="97"/>
      <c r="E58" s="98"/>
      <c r="F58" s="98"/>
      <c r="G58" s="33"/>
      <c r="H58" s="97"/>
      <c r="I58" s="98"/>
    </row>
    <row r="59" customFormat="false" ht="21.75" hidden="false" customHeight="true" outlineLevel="0" collapsed="false">
      <c r="B59" s="100">
        <f aca="false">IF(C59="","",ROW()-11)</f>
      </c>
      <c r="C59" s="101"/>
      <c r="D59" s="102"/>
      <c r="E59" s="103"/>
      <c r="F59" s="103"/>
      <c r="G59" s="35"/>
      <c r="H59" s="102"/>
      <c r="I59" s="103"/>
    </row>
    <row r="60" customFormat="false" ht="21.75" hidden="false" customHeight="true" outlineLevel="0" collapsed="false">
      <c r="B60" s="43">
        <f aca="false">IF(C60="","",ROW()-11)</f>
      </c>
      <c r="C60" s="96"/>
      <c r="D60" s="97"/>
      <c r="E60" s="98"/>
      <c r="F60" s="98"/>
      <c r="G60" s="33"/>
      <c r="H60" s="97"/>
      <c r="I60" s="98"/>
    </row>
    <row r="61" customFormat="false" ht="21.75" hidden="false" customHeight="true" outlineLevel="0" collapsed="false">
      <c r="B61" s="100">
        <f aca="false">IF(C61="","",ROW()-11)</f>
      </c>
      <c r="C61" s="101"/>
      <c r="D61" s="102"/>
      <c r="E61" s="103"/>
      <c r="F61" s="103"/>
      <c r="G61" s="35"/>
      <c r="H61" s="102"/>
      <c r="I61" s="103"/>
    </row>
    <row r="62" customFormat="false" ht="30" hidden="false" customHeight="true" outlineLevel="0" collapsed="false">
      <c r="B62" t="s" s="82">
        <v>142</v>
      </c>
      <c r="C62" s="82"/>
      <c r="D62" s="82"/>
      <c r="E62" s="82"/>
      <c r="F62" s="82"/>
      <c r="G62" s="83">
        <f aca="false">SUMIFS(G12:G61,D12:D61,"pengeluaran")</f>
      </c>
      <c r="H62" s="114"/>
      <c r="I62" s="114"/>
    </row>
    <row r="64" customFormat="false" ht="15" hidden="false" customHeight="true" outlineLevel="0" collapsed="false">
      <c r="B64" t="s" s="19">
        <v>152</v>
      </c>
      <c r="C64" s="19"/>
      <c r="D64" s="19"/>
      <c r="E64" s="19"/>
      <c r="F64" s="19"/>
      <c r="G64" s="19"/>
      <c r="H64" s="19"/>
      <c r="I64" s="19"/>
    </row>
  </sheetData>
  <mergeCells count="10">
    <mergeCell ref="B2:I2"/>
    <mergeCell ref="B5:D5"/>
    <mergeCell ref="G5:H5"/>
    <mergeCell ref="B6:D6"/>
    <mergeCell ref="G6:H6"/>
    <mergeCell ref="B8:I8"/>
    <mergeCell ref="B10:I10"/>
    <mergeCell ref="B62:F62"/>
    <mergeCell ref="H62:I62"/>
    <mergeCell ref="B64:I64"/>
  </mergeCells>
  <conditionalFormatting sqref="D12:D61">
    <cfRule type="expression" priority="2" aboveAverage="0" equalAverage="0" bottom="0" percent="0" rank="0" text="" dxfId="2">
      <formula>$D12="pemasukan"</formula>
    </cfRule>
    <cfRule type="expression" priority="3" aboveAverage="0" equalAverage="0" bottom="0" percent="0" rank="0" text="" dxfId="0">
      <formula>$D12="pengeluaran"</formula>
    </cfRule>
  </conditionalFormatting>
  <conditionalFormatting sqref="G12:G61">
    <cfRule type="cellIs" priority="4" operator="greaterThan" aboveAverage="0" equalAverage="0" bottom="0" percent="0" rank="0" text="" dxfId="3">
      <formula>E$5*0.2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6F0E"/>
    <pageSetUpPr fitToPage="true"/>
  </sheetPr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4"/>
    <col collapsed="false" customWidth="true" hidden="false" outlineLevel="0" max="7" min="6" style="1" width="22"/>
    <col collapsed="false" customWidth="true" hidden="false" outlineLevel="0" max="8" min="8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t="s" s="21">
        <v>153</v>
      </c>
      <c r="C2" s="21"/>
      <c r="D2" s="21"/>
      <c r="E2" s="21"/>
      <c r="F2" s="21"/>
      <c r="G2" s="21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</row>
    <row r="4" customFormat="false" ht="21.75" hidden="false" customHeight="true" outlineLevel="0" collapsed="false">
      <c r="B4" t="s" s="19">
        <v>154</v>
      </c>
      <c r="C4" s="19"/>
      <c r="D4" s="19"/>
      <c r="E4" s="19"/>
      <c r="F4" s="19"/>
      <c r="G4" s="19"/>
    </row>
    <row r="6" customFormat="false" ht="31.5" hidden="false" customHeight="true" outlineLevel="0" collapsed="false">
      <c r="B6" t="s" s="23">
        <v>126</v>
      </c>
      <c r="C6" t="s" s="23">
        <v>155</v>
      </c>
      <c r="D6" t="s" s="23">
        <v>156</v>
      </c>
    </row>
    <row r="7" customFormat="false" ht="21.75" hidden="false" customHeight="true" outlineLevel="0" collapsed="false">
      <c r="B7" t="s" s="47">
        <v>157</v>
      </c>
      <c r="C7" s="48">
        <f aca="false">SUMPRODUCT(('Cashflow Timeline'!F7:F106="pendanaan_investor")*('Cashflow Timeline'!E7:E106="pengeluaran")*'Cashflow Timeline'!G7:G106)</f>
      </c>
      <c r="D7" s="27">
        <f aca="false">IFERROR(C7/$C$18,0)</f>
      </c>
    </row>
    <row r="8" customFormat="false" ht="21.75" hidden="false" customHeight="true" outlineLevel="0" collapsed="false">
      <c r="B8" t="s" s="49">
        <v>158</v>
      </c>
      <c r="C8" s="50">
        <f aca="false">SUMPRODUCT(('Cashflow Timeline'!F7:F106="modal_internal")*('Cashflow Timeline'!E7:E106="pengeluaran")*'Cashflow Timeline'!G7:G106)</f>
      </c>
      <c r="D8" s="31">
        <f aca="false">IFERROR(C8/$C$18,0)</f>
      </c>
    </row>
    <row r="9" customFormat="false" ht="21.75" hidden="false" customHeight="true" outlineLevel="0" collapsed="false">
      <c r="B9" t="s" s="47">
        <v>159</v>
      </c>
      <c r="C9" s="48">
        <f aca="false">SUMPRODUCT(('Cashflow Timeline'!F7:F106="pengembalian_modal")*('Cashflow Timeline'!E7:E106="pengeluaran")*'Cashflow Timeline'!G7:G106)</f>
      </c>
      <c r="D9" s="27">
        <f aca="false">IFERROR(C9/$C$18,0)</f>
      </c>
    </row>
    <row r="10" customFormat="false" ht="21.75" hidden="false" customHeight="true" outlineLevel="0" collapsed="false">
      <c r="B10" t="s" s="49">
        <v>160</v>
      </c>
      <c r="C10" s="50">
        <f aca="false">SUMPRODUCT(('Cashflow Timeline'!F7:F106="bayar_lelang")*('Cashflow Timeline'!E7:E106="pengeluaran")*'Cashflow Timeline'!G7:G106)</f>
      </c>
      <c r="D10" s="31">
        <f aca="false">IFERROR(C10/$C$18,0)</f>
      </c>
    </row>
    <row r="11" customFormat="false" ht="21.75" hidden="false" customHeight="true" outlineLevel="0" collapsed="false">
      <c r="B11" t="s" s="47">
        <v>161</v>
      </c>
      <c r="C11" s="48">
        <f aca="false">SUMPRODUCT(('Cashflow Timeline'!F7:F106="biaya_eksekusi")*('Cashflow Timeline'!E7:E106="pengeluaran")*'Cashflow Timeline'!G7:G106)</f>
      </c>
      <c r="D11" s="27">
        <f aca="false">IFERROR(C11/$C$18,0)</f>
      </c>
    </row>
    <row r="12" customFormat="false" ht="21.75" hidden="false" customHeight="true" outlineLevel="0" collapsed="false">
      <c r="B12" t="s" s="49">
        <v>162</v>
      </c>
      <c r="C12" s="50">
        <f aca="false">SUMPRODUCT(('Cashflow Timeline'!F7:F106="balik_nama")*('Cashflow Timeline'!E7:E106="pengeluaran")*'Cashflow Timeline'!G7:G106)</f>
      </c>
      <c r="D12" s="31">
        <f aca="false">IFERROR(C12/$C$18,0)</f>
      </c>
    </row>
    <row r="13" customFormat="false" ht="21.75" hidden="false" customHeight="true" outlineLevel="0" collapsed="false">
      <c r="B13" t="s" s="47">
        <v>99</v>
      </c>
      <c r="C13" s="48">
        <f aca="false">SUMPRODUCT(('Cashflow Timeline'!F7:F106="renovasi")*('Cashflow Timeline'!E7:E106="pengeluaran")*'Cashflow Timeline'!G7:G106)</f>
      </c>
      <c r="D13" s="27">
        <f aca="false">IFERROR(C13/$C$18,0)</f>
      </c>
    </row>
    <row r="14" customFormat="false" ht="21.75" hidden="false" customHeight="true" outlineLevel="0" collapsed="false">
      <c r="B14" t="s" s="49">
        <v>163</v>
      </c>
      <c r="C14" s="50">
        <f aca="false">SUMPRODUCT(('Cashflow Timeline'!F7:F106="operasional")*('Cashflow Timeline'!E7:E106="pengeluaran")*'Cashflow Timeline'!G7:G106)</f>
      </c>
      <c r="D14" s="31">
        <f aca="false">IFERROR(C14/$C$18,0)</f>
      </c>
    </row>
    <row r="15" customFormat="false" ht="21.75" hidden="false" customHeight="true" outlineLevel="0" collapsed="false">
      <c r="B15" t="s" s="47">
        <v>164</v>
      </c>
      <c r="C15" s="48">
        <f aca="false">SUMPRODUCT(('Cashflow Timeline'!F7:F106="pengeluaran_lain")*('Cashflow Timeline'!E7:E106="pengeluaran")*'Cashflow Timeline'!G7:G106)</f>
      </c>
      <c r="D15" s="27">
        <f aca="false">IFERROR(C15/$C$18,0)</f>
      </c>
    </row>
    <row r="16" customFormat="false" ht="21.75" hidden="false" customHeight="true" outlineLevel="0" collapsed="false">
      <c r="B16" t="s" s="49">
        <v>165</v>
      </c>
      <c r="C16" s="50">
        <f aca="false">SUMPRODUCT(('Cashflow Timeline'!F7:F106="pemasukan_penjualan")*('Cashflow Timeline'!E7:E106="pengeluaran")*'Cashflow Timeline'!G7:G106)</f>
      </c>
      <c r="D16" s="31">
        <f aca="false">IFERROR(C16/$C$18,0)</f>
      </c>
    </row>
    <row r="17" customFormat="false" ht="21.75" hidden="false" customHeight="true" outlineLevel="0" collapsed="false">
      <c r="B17" t="s" s="47">
        <v>166</v>
      </c>
      <c r="C17" s="48">
        <f aca="false">SUMPRODUCT(('Cashflow Timeline'!F7:F106="pemasukan_lain")*('Cashflow Timeline'!E7:E106="pengeluaran")*'Cashflow Timeline'!G7:G106)</f>
      </c>
      <c r="D17" s="27">
        <f aca="false">IFERROR(C17/$C$18,0)</f>
      </c>
    </row>
    <row r="18" customFormat="false" ht="27.75" hidden="false" customHeight="true" outlineLevel="0" collapsed="false">
      <c r="B18" t="s" s="39">
        <v>85</v>
      </c>
      <c r="C18" s="93">
        <f aca="false">SUM(C7:C17)</f>
      </c>
      <c r="D18" t="s" s="82">
        <v>59</v>
      </c>
    </row>
  </sheetData>
  <mergeCells count="2">
    <mergeCell ref="B2:G2"/>
    <mergeCell ref="B4:G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true"/>
  </sheetPr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"/>
    <col collapsed="false" customWidth="true" hidden="false" outlineLevel="0" max="3" min="3" style="1" width="90"/>
    <col collapsed="false" customWidth="true" hidden="false" outlineLevel="0" max="4" min="4" style="1" width="4"/>
    <col collapsed="false" customWidth="true" hidden="false" outlineLevel="0" max="5" min="5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t="s" s="95">
        <v>167</v>
      </c>
      <c r="C2" s="95"/>
      <c r="D2" s="95"/>
    </row>
    <row r="3" customFormat="false" ht="3.75" hidden="false" customHeight="true" outlineLevel="0" collapsed="false">
      <c r="B3" s="6"/>
      <c r="C3" s="6"/>
      <c r="D3" s="6"/>
    </row>
    <row r="5" customFormat="false" ht="24" hidden="false" customHeight="true" outlineLevel="0" collapsed="false">
      <c r="B5" t="s" s="120">
        <v>168</v>
      </c>
      <c r="C5" t="s" s="121">
        <v>169</v>
      </c>
    </row>
    <row r="6" customFormat="false" ht="60" hidden="false" customHeight="true" outlineLevel="0" collapsed="false">
      <c r="C6" t="s" s="122">
        <v>170</v>
      </c>
    </row>
    <row r="8" customFormat="false" ht="24" hidden="false" customHeight="true" outlineLevel="0" collapsed="false">
      <c r="B8" t="s" s="120">
        <v>168</v>
      </c>
      <c r="C8" t="s" s="121">
        <v>171</v>
      </c>
    </row>
    <row r="9" customFormat="false" ht="60" hidden="false" customHeight="true" outlineLevel="0" collapsed="false">
      <c r="C9" t="s" s="122">
        <v>172</v>
      </c>
    </row>
    <row r="11" customFormat="false" ht="24" hidden="false" customHeight="true" outlineLevel="0" collapsed="false">
      <c r="B11" t="s" s="120">
        <v>168</v>
      </c>
      <c r="C11" t="s" s="121">
        <v>173</v>
      </c>
    </row>
    <row r="12" customFormat="false" ht="60" hidden="false" customHeight="true" outlineLevel="0" collapsed="false">
      <c r="C12" t="s" s="122">
        <v>174</v>
      </c>
    </row>
    <row r="14" customFormat="false" ht="24" hidden="false" customHeight="true" outlineLevel="0" collapsed="false">
      <c r="B14" t="s" s="120">
        <v>168</v>
      </c>
      <c r="C14" t="s" s="121">
        <v>175</v>
      </c>
    </row>
    <row r="15" customFormat="false" ht="60" hidden="false" customHeight="true" outlineLevel="0" collapsed="false">
      <c r="C15" t="s" s="122">
        <v>176</v>
      </c>
    </row>
    <row r="17" customFormat="false" ht="24" hidden="false" customHeight="true" outlineLevel="0" collapsed="false">
      <c r="B17" t="s" s="120">
        <v>168</v>
      </c>
      <c r="C17" t="s" s="121">
        <v>177</v>
      </c>
    </row>
    <row r="18" customFormat="false" ht="60" hidden="false" customHeight="true" outlineLevel="0" collapsed="false">
      <c r="C18" t="s" s="122">
        <v>178</v>
      </c>
    </row>
    <row r="20" customFormat="false" ht="24" hidden="false" customHeight="true" outlineLevel="0" collapsed="false">
      <c r="B20" t="s" s="120">
        <v>168</v>
      </c>
      <c r="C20" t="s" s="121">
        <v>179</v>
      </c>
    </row>
    <row r="21" customFormat="false" ht="60" hidden="false" customHeight="true" outlineLevel="0" collapsed="false">
      <c r="C21" t="s" s="122">
        <v>180</v>
      </c>
    </row>
    <row r="23" customFormat="false" ht="24" hidden="false" customHeight="true" outlineLevel="0" collapsed="false">
      <c r="B23" t="s" s="120">
        <v>168</v>
      </c>
      <c r="C23" t="s" s="121">
        <v>181</v>
      </c>
    </row>
    <row r="24" customFormat="false" ht="60" hidden="false" customHeight="true" outlineLevel="0" collapsed="false">
      <c r="C24" t="s" s="122">
        <v>182</v>
      </c>
    </row>
    <row r="26" customFormat="false" ht="24" hidden="false" customHeight="true" outlineLevel="0" collapsed="false">
      <c r="B26" t="s" s="120">
        <v>168</v>
      </c>
      <c r="C26" t="s" s="121">
        <v>183</v>
      </c>
    </row>
    <row r="27" customFormat="false" ht="60" hidden="false" customHeight="true" outlineLevel="0" collapsed="false">
      <c r="C27" t="s" s="122">
        <v>184</v>
      </c>
    </row>
    <row r="29" customFormat="false" ht="24" hidden="false" customHeight="true" outlineLevel="0" collapsed="false">
      <c r="B29" t="s" s="120">
        <v>168</v>
      </c>
      <c r="C29" t="s" s="121">
        <v>185</v>
      </c>
    </row>
    <row r="30" customFormat="false" ht="60" hidden="false" customHeight="true" outlineLevel="0" collapsed="false">
      <c r="C30" t="s" s="122">
        <v>186</v>
      </c>
    </row>
  </sheetData>
  <mergeCells count="1">
    <mergeCell ref="B2:D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2026-04-27T12:03:59Z</dcterms:created>
  <dc:creator>openpyxl</dc:creator>
  <dc:description/>
  <dc:language>en-US</dc:language>
  <cp:lastModifiedBy/>
  <dcterms:modified xsi:type="dcterms:W3CDTF">2026-04-27T12:05:43Z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